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este-ma" sheetId="1" state="visible" r:id="rId1"/>
    <sheet xmlns:r="http://schemas.openxmlformats.org/officeDocument/2006/relationships" name="Surse" sheetId="2" state="visible" r:id="rId2"/>
    <sheet xmlns:r="http://schemas.openxmlformats.org/officeDocument/2006/relationships" name="Inventar local" sheetId="3" state="visible" r:id="rId3"/>
    <sheet xmlns:r="http://schemas.openxmlformats.org/officeDocument/2006/relationships" name="Structuri existente" sheetId="4" state="visible" r:id="rId4"/>
    <sheet xmlns:r="http://schemas.openxmlformats.org/officeDocument/2006/relationships" name="Etape si foldere" sheetId="5" state="visible" r:id="rId5"/>
    <sheet xmlns:r="http://schemas.openxmlformats.org/officeDocument/2006/relationships" name="Sarcini" sheetId="6" state="visible" r:id="rId6"/>
    <sheet xmlns:r="http://schemas.openxmlformats.org/officeDocument/2006/relationships" name="Registru documente" sheetId="7" state="visible" r:id="rId7"/>
    <sheet xmlns:r="http://schemas.openxmlformats.org/officeDocument/2006/relationships" name="Flota" sheetId="8" state="visible" r:id="rId8"/>
    <sheet xmlns:r="http://schemas.openxmlformats.org/officeDocument/2006/relationships" name="Ajutoare minimis" sheetId="9" state="visible" r:id="rId9"/>
    <sheet xmlns:r="http://schemas.openxmlformats.org/officeDocument/2006/relationships" name="Calcul minimis" sheetId="10" state="visible" r:id="rId10"/>
    <sheet xmlns:r="http://schemas.openxmlformats.org/officeDocument/2006/relationships" name="Buget M1" sheetId="11" state="visible" r:id="rId11"/>
    <sheet xmlns:r="http://schemas.openxmlformats.org/officeDocument/2006/relationships" name="Intrebari deschise" sheetId="12" state="visible" r:id="rId12"/>
  </sheets>
  <definedNames>
    <definedName name="_xlnm._FilterDatabase" localSheetId="0" hidden="1">'Citeste-ma'!$A$1:$B$8</definedName>
    <definedName name="_xlnm._FilterDatabase" localSheetId="1" hidden="1">'Surse'!$A$1:$H$10</definedName>
    <definedName name="_xlnm._FilterDatabase" localSheetId="2" hidden="1">'Inventar local'!$A$1:$H$634</definedName>
    <definedName name="_xlnm._FilterDatabase" localSheetId="3" hidden="1">'Structuri existente'!$A$1:$B$145</definedName>
    <definedName name="_xlnm._FilterDatabase" localSheetId="4" hidden="1">'Etape si foldere'!$A$1:$E$19</definedName>
    <definedName name="_xlnm._FilterDatabase" localSheetId="5" hidden="1">'Sarcini'!$A$1:$J$23</definedName>
    <definedName name="_xlnm._FilterDatabase" localSheetId="6" hidden="1">'Registru documente'!$A$1:$M$15</definedName>
    <definedName name="_xlnm._FilterDatabase" localSheetId="7" hidden="1">'Flota'!$A$1:$Q$11</definedName>
    <definedName name="_xlnm._FilterDatabase" localSheetId="8" hidden="1">'Ajutoare minimis'!$A$1:$H$201</definedName>
    <definedName name="_xlnm._FilterDatabase" localSheetId="9" hidden="1">'Calcul minimis'!$A$1:$C$6</definedName>
    <definedName name="_xlnm._FilterDatabase" localSheetId="10" hidden="1">'Buget M1'!$A$1:$J$11</definedName>
    <definedName name="_xlnm._FilterDatabase" localSheetId="11" hidden="1">'Intrebari deschise'!$A$1:$E$9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164" fontId="0" fillId="0" borderId="0" applyAlignment="1" pivotButton="0" quotePrefix="0" xfId="0">
      <alignment vertical="top" wrapText="1"/>
    </xf>
    <xf numFmtId="4" fontId="0" fillId="0" borderId="0" applyAlignment="1" pivotButton="0" quotePrefix="0" xfId="0">
      <alignment vertical="top" wrapText="1"/>
    </xf>
    <xf numFmtId="1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onitorlegal.ro/wp-content/uploads/2026/08/mof-655-2026.pdf" TargetMode="External" Id="rId1"/><Relationship Type="http://schemas.openxmlformats.org/officeDocument/2006/relationships/hyperlink" Target="https://monitorlegal.ro/wp-content/uploads/2026/09/mof-739-2026.pdf" TargetMode="External" Id="rId2"/><Relationship Type="http://schemas.openxmlformats.org/officeDocument/2006/relationships/hyperlink" Target="https://fonduri-structurale-media.s3.eu-central-1.amazonaws.com/rev_Centralizator_raspunsuri_Scheme_revizuite_septembrie_2026_9841565907.docx" TargetMode="External" Id="rId3"/><Relationship Type="http://schemas.openxmlformats.org/officeDocument/2006/relationships/hyperlink" Target="https://eur-lex.europa.eu/legal-content/RO/TXT/PDF/?uri=CELEX:32023R2831" TargetMode="External" Id="rId4"/><Relationship Type="http://schemas.openxmlformats.org/officeDocument/2006/relationships/hyperlink" Target="https://fonduri.mt.ro/documente-si-publicatii/finantari-fm/scheme-de-ajutor-de-stat/schema-de-ajutor-de-stat-8" TargetMode="External" Id="rId5"/><Relationship Type="http://schemas.openxmlformats.org/officeDocument/2006/relationships/hyperlink" Target="https://rcgconsulting.ro/e-drive-finantare-vehicule-electrice/" TargetMode="External" Id="rId6"/><Relationship Type="http://schemas.openxmlformats.org/officeDocument/2006/relationships/hyperlink" Target="https://sovconsulting.ro/anunturi/edrive-inlocuire-flota-electrica/30/09/2026/" TargetMode="External" Id="rId7"/><Relationship Type="http://schemas.openxmlformats.org/officeDocument/2006/relationships/hyperlink" Target="https://fonduri-structurale.ro/stiri/41301/fm-centralizatoarele-privind-propunerile-si-observatiile-pentru-schemele-de-ajutor-de-stat-e-move-ro-e-mobility-ro-si-e-drive" TargetMode="External" Id="rId8"/><Relationship Type="http://schemas.openxmlformats.org/officeDocument/2006/relationships/hyperlink" Target="https://legislatie.just.ro/Public/DetaliiDocument/306914" TargetMode="External" Id="rId9"/></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6" customWidth="1" min="1" max="1"/>
    <col width="75" customWidth="1" min="2" max="2"/>
  </cols>
  <sheetData>
    <row r="1">
      <c r="A1" s="1" t="inlineStr">
        <is>
          <t>Element</t>
        </is>
      </c>
      <c r="B1" s="1" t="inlineStr">
        <is>
          <t>Instrucțiune</t>
        </is>
      </c>
    </row>
    <row r="2">
      <c r="A2" s="2" t="inlineStr">
        <is>
          <t>Statut</t>
        </is>
      </c>
      <c r="B2" s="2" t="inlineStr">
        <is>
          <t>Registru INTERN, nu anexă oficială MTI. Date de referință 01.10.2026.</t>
        </is>
      </c>
    </row>
    <row r="3">
      <c r="A3" s="2" t="inlineStr">
        <is>
          <t>Utilizare</t>
        </is>
      </c>
      <c r="B3" s="2" t="inlineStr">
        <is>
          <t>Completați responsabilii, documentele și termenele oficiale după ghid; sarcinile inițiale nu au termen oficial inventat.</t>
        </is>
      </c>
    </row>
    <row r="4">
      <c r="A4" s="2" t="inlineStr">
        <is>
          <t>Minimis</t>
        </is>
      </c>
      <c r="B4" s="2" t="inlineStr">
        <is>
          <t>Înregistrați ajutoarele acordate, în EUR echivalent conform actului de acordare, la nivelul întreprinderii unice; confirmați integralitatea înainte de a utiliza soldul.</t>
        </is>
      </c>
    </row>
    <row r="5">
      <c r="A5" s="2" t="inlineStr">
        <is>
          <t>Buget</t>
        </is>
      </c>
      <c r="B5" s="2" t="inlineStr">
        <is>
          <t>Calculator pentru Măsura1 și vehicule M1; nu se aplică M2/Măsura2. Cota TVA și grantul pe fiecare vehicul se introduc, nu se presupun.</t>
        </is>
      </c>
    </row>
    <row r="6">
      <c r="A6" s="2" t="inlineStr">
        <is>
          <t>Formule</t>
        </is>
      </c>
      <c r="B6" s="2" t="inlineStr">
        <is>
          <t>Formulele se recalculează la deschiderea în Excel. Registrul nu înlocuiește verificarea juridică a cumulului.</t>
        </is>
      </c>
    </row>
    <row r="7">
      <c r="A7" s="2" t="inlineStr">
        <is>
          <t>Surse</t>
        </is>
      </c>
      <c r="B7" s="2" t="inlineStr">
        <is>
          <t>Copiile oficiale prin terți sunt marcate; ghidul eDrive rămâne de verificat în sursa oficială.</t>
        </is>
      </c>
    </row>
    <row r="8">
      <c r="A8" s="2" t="inlineStr">
        <is>
          <t>Inventar</t>
        </is>
      </c>
      <c r="B8" s="2" t="inlineStr">
        <is>
          <t>Rezultate înaintea creării acestui dosar; fără OCR și fără extragerea arhivelor; fișiere de parole excluse din citirea conținutului.</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6" customWidth="1" min="1" max="1"/>
    <col width="42.7" customWidth="1" min="2" max="2"/>
    <col width="74.19999999999999" customWidth="1" min="3" max="3"/>
    <col width="75" customWidth="1" min="4" max="4"/>
    <col width="16" customWidth="1" min="5" max="5"/>
    <col width="39.9" customWidth="1" min="6" max="6"/>
    <col width="69.3" customWidth="1" min="7" max="7"/>
    <col width="44.8" customWidth="1" min="8" max="8"/>
  </cols>
  <sheetData>
    <row r="1">
      <c r="A1" s="1" t="inlineStr">
        <is>
          <t>ID</t>
        </is>
      </c>
      <c r="B1" s="1" t="inlineStr">
        <is>
          <t>Titlu</t>
        </is>
      </c>
      <c r="C1" s="1" t="inlineStr">
        <is>
          <t>Tip / proveniență</t>
        </is>
      </c>
      <c r="D1" s="1" t="inlineStr">
        <is>
          <t>URL</t>
        </is>
      </c>
      <c r="E1" s="1" t="inlineStr">
        <is>
          <t>Data verificării</t>
        </is>
      </c>
      <c r="F1" s="1" t="inlineStr">
        <is>
          <t>Stare</t>
        </is>
      </c>
      <c r="G1" s="1" t="inlineStr">
        <is>
          <t>Copie locală</t>
        </is>
      </c>
      <c r="H1" s="1" t="inlineStr">
        <is>
          <t>SHA256</t>
        </is>
      </c>
    </row>
    <row r="2">
      <c r="A2" s="2" t="inlineStr">
        <is>
          <t>S01</t>
        </is>
      </c>
      <c r="B2" s="2" t="inlineStr">
        <is>
          <t>Monitorul Oficial 655 - OMTI 742 din 03.08.2026</t>
        </is>
      </c>
      <c r="C2" s="2" t="inlineStr">
        <is>
          <t>Act oficial; copie găzduită de terț</t>
        </is>
      </c>
      <c r="D2" s="3" t="inlineStr">
        <is>
          <t>https://monitorlegal.ro/wp-content/uploads/2026/08/mof-655-2026.pdf</t>
        </is>
      </c>
      <c r="E2" s="2" t="inlineStr">
        <is>
          <t>2026-10-01</t>
        </is>
      </c>
      <c r="F2" s="2" t="inlineStr">
        <is>
          <t>descărcat</t>
        </is>
      </c>
      <c r="G2" s="2" t="inlineStr">
        <is>
          <t>01. Documente originale/01. Acte normative/2026-08-07_MOf655_OMTI742_eDRIVE.pdf</t>
        </is>
      </c>
      <c r="H2" s="2" t="inlineStr">
        <is>
          <t>bcc39aa1155036ff5fadba921074dc6867bb5e66dde89e22ca6a1daa37589003</t>
        </is>
      </c>
    </row>
    <row r="3">
      <c r="A3" s="2" t="inlineStr">
        <is>
          <t>S02</t>
        </is>
      </c>
      <c r="B3" s="2" t="inlineStr">
        <is>
          <t>Monitorul Oficial 739 - OMTI 817 din 01.09.2026</t>
        </is>
      </c>
      <c r="C3" s="2" t="inlineStr">
        <is>
          <t>Act oficial; copie găzduită de terț</t>
        </is>
      </c>
      <c r="D3" s="3" t="inlineStr">
        <is>
          <t>https://monitorlegal.ro/wp-content/uploads/2026/09/mof-739-2026.pdf</t>
        </is>
      </c>
      <c r="E3" s="2" t="inlineStr">
        <is>
          <t>2026-10-01</t>
        </is>
      </c>
      <c r="F3" s="2" t="inlineStr">
        <is>
          <t>descărcat</t>
        </is>
      </c>
      <c r="G3" s="2" t="inlineStr">
        <is>
          <t>01. Documente originale/01. Acte normative/2026-09-02_MOf739_OMTI817_eDRIVE.pdf</t>
        </is>
      </c>
      <c r="H3" s="2" t="inlineStr">
        <is>
          <t>98f71bcee3da90d50f592f8b61423535273c1687bf2ee437e604ffeb3246060a</t>
        </is>
      </c>
    </row>
    <row r="4">
      <c r="A4" s="2" t="inlineStr">
        <is>
          <t>S03</t>
        </is>
      </c>
      <c r="B4" s="2" t="inlineStr">
        <is>
          <t>MTI centralizator consultări scheme revizuite septembrie 2026</t>
        </is>
      </c>
      <c r="C4" s="2" t="inlineStr">
        <is>
          <t>Document MTI; copie preluată prin Fonduri Structurale</t>
        </is>
      </c>
      <c r="D4" s="3" t="inlineStr">
        <is>
          <t>https://fonduri-structurale-media.s3.eu-central-1.amazonaws.com/rev_Centralizator_raspunsuri_Scheme_revizuite_septembrie_2026_9841565907.docx</t>
        </is>
      </c>
      <c r="E4" s="2" t="inlineStr">
        <is>
          <t>2026-10-01</t>
        </is>
      </c>
      <c r="F4" s="2" t="inlineStr">
        <is>
          <t>descărcat</t>
        </is>
      </c>
      <c r="G4" s="2" t="inlineStr">
        <is>
          <t>01. Documente originale/02. Clarificari oficiale/2026-09-17_MTI_Centralizator_scheme_revizuite.docx</t>
        </is>
      </c>
      <c r="H4" s="2" t="inlineStr">
        <is>
          <t>62ef96a883bd2b63e80000f4ccbd30d46ef4fab91abc53bdeaf995d59b00508c</t>
        </is>
      </c>
    </row>
    <row r="5">
      <c r="A5" s="2" t="inlineStr">
        <is>
          <t>S04</t>
        </is>
      </c>
      <c r="B5" s="2" t="inlineStr">
        <is>
          <t>Regulamentul UE 2023/2831 de minimis</t>
        </is>
      </c>
      <c r="C5" s="2" t="inlineStr">
        <is>
          <t>Sursă oficială UE</t>
        </is>
      </c>
      <c r="D5" s="3" t="inlineStr">
        <is>
          <t>https://eur-lex.europa.eu/legal-content/RO/TXT/PDF/?uri=CELEX:32023R2831</t>
        </is>
      </c>
      <c r="E5" s="2" t="inlineStr">
        <is>
          <t>2026-10-01</t>
        </is>
      </c>
      <c r="F5" s="2" t="inlineStr">
        <is>
          <t>nerecuperat: răspunsul nu este PDF</t>
        </is>
      </c>
      <c r="G5" s="2" t="inlineStr">
        <is>
          <t>01. Documente originale/01. Acte normative/2023-12-13_UE_2023_2831_minimis.pdf</t>
        </is>
      </c>
      <c r="H5" s="2" t="inlineStr"/>
    </row>
    <row r="6">
      <c r="A6" s="2" t="inlineStr">
        <is>
          <t>S05</t>
        </is>
      </c>
      <c r="B6" s="2" t="inlineStr">
        <is>
          <t>MTI pagina oficială eDRIVE</t>
        </is>
      </c>
      <c r="C6" s="2" t="inlineStr">
        <is>
          <t>Sursă oficială; acces direct cu erori</t>
        </is>
      </c>
      <c r="D6" s="3" t="inlineStr">
        <is>
          <t>https://fonduri.mt.ro/documente-si-publicatii/finantari-fm/scheme-de-ajutor-de-stat/schema-de-ajutor-de-stat-8</t>
        </is>
      </c>
      <c r="E6" s="2" t="inlineStr">
        <is>
          <t>2026-10-01</t>
        </is>
      </c>
      <c r="F6" s="2" t="inlineStr">
        <is>
          <t>link și evaluare din cercetarea web; fără copie integrală</t>
        </is>
      </c>
      <c r="G6" s="2" t="inlineStr"/>
      <c r="H6" s="2" t="inlineStr"/>
    </row>
    <row r="7">
      <c r="A7" s="2" t="inlineStr">
        <is>
          <t>S06</t>
        </is>
      </c>
      <c r="B7" s="2" t="inlineStr">
        <is>
          <t>RCG status și sinteză eDRIVE</t>
        </is>
      </c>
      <c r="C7" s="2" t="inlineStr">
        <is>
          <t>Sursă secundară; verificare declarată 28.09.2026</t>
        </is>
      </c>
      <c r="D7" s="3" t="inlineStr">
        <is>
          <t>https://rcgconsulting.ro/e-drive-finantare-vehicule-electrice/</t>
        </is>
      </c>
      <c r="E7" s="2" t="inlineStr">
        <is>
          <t>2026-10-01</t>
        </is>
      </c>
      <c r="F7" s="2" t="inlineStr">
        <is>
          <t>link și evaluare din cercetarea web; fără copie integrală</t>
        </is>
      </c>
      <c r="G7" s="2" t="inlineStr"/>
      <c r="H7" s="2" t="inlineStr"/>
    </row>
    <row r="8">
      <c r="A8" s="2" t="inlineStr">
        <is>
          <t>S07</t>
        </is>
      </c>
      <c r="B8" s="2" t="inlineStr">
        <is>
          <t>SOV sinteză actualizată 30.09.2026</t>
        </is>
      </c>
      <c r="C8" s="2" t="inlineStr">
        <is>
          <t>Sursă secundară</t>
        </is>
      </c>
      <c r="D8" s="3" t="inlineStr">
        <is>
          <t>https://sovconsulting.ro/anunturi/edrive-inlocuire-flota-electrica/30/09/2026/</t>
        </is>
      </c>
      <c r="E8" s="2" t="inlineStr">
        <is>
          <t>2026-10-01</t>
        </is>
      </c>
      <c r="F8" s="2" t="inlineStr">
        <is>
          <t>link și evaluare din cercetarea web; fără copie integrală</t>
        </is>
      </c>
      <c r="G8" s="2" t="inlineStr"/>
      <c r="H8" s="2" t="inlineStr"/>
    </row>
    <row r="9">
      <c r="A9" s="2" t="inlineStr">
        <is>
          <t>S08</t>
        </is>
      </c>
      <c r="B9" s="2" t="inlineStr">
        <is>
          <t>Fonduri Structurale centralizatoare MTI 18.09.2026</t>
        </is>
      </c>
      <c r="C9" s="2" t="inlineStr">
        <is>
          <t>Sursă secundară de identificare a documentelor oficiale</t>
        </is>
      </c>
      <c r="D9" s="3" t="inlineStr">
        <is>
          <t>https://fonduri-structurale.ro/stiri/41301/fm-centralizatoarele-privind-propunerile-si-observatiile-pentru-schemele-de-ajutor-de-stat-e-move-ro-e-mobility-ro-si-e-drive</t>
        </is>
      </c>
      <c r="E9" s="2" t="inlineStr">
        <is>
          <t>2026-10-01</t>
        </is>
      </c>
      <c r="F9" s="2" t="inlineStr">
        <is>
          <t>link și evaluare din cercetarea web; fără copie integrală</t>
        </is>
      </c>
      <c r="G9" s="2" t="inlineStr"/>
      <c r="H9" s="2" t="inlineStr"/>
    </row>
    <row r="10">
      <c r="A10" s="2" t="inlineStr">
        <is>
          <t>S09</t>
        </is>
      </c>
      <c r="B10" s="2" t="inlineStr">
        <is>
          <t>Portal Legislativ schema inițială eDRIVE</t>
        </is>
      </c>
      <c r="C10" s="2" t="inlineStr">
        <is>
          <t>Sursă oficială; pagina identificată prezintă forma veche, nu substituie modificările din august/septembrie</t>
        </is>
      </c>
      <c r="D10" s="3" t="inlineStr">
        <is>
          <t>https://legislatie.just.ro/Public/DetaliiDocument/306914</t>
        </is>
      </c>
      <c r="E10" s="2" t="inlineStr">
        <is>
          <t>2026-10-01</t>
        </is>
      </c>
      <c r="F10" s="2" t="inlineStr">
        <is>
          <t>link și evaluare din cercetarea web; fără copie integrală</t>
        </is>
      </c>
      <c r="G10" s="2" t="inlineStr"/>
      <c r="H10" s="2" t="inlineStr"/>
    </row>
  </sheetData>
  <autoFilter ref="A1:H1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4"/>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75" customWidth="1" min="3" max="3"/>
    <col width="16" customWidth="1" min="4" max="4"/>
    <col width="16" customWidth="1" min="5" max="5"/>
    <col width="16" customWidth="1" min="6" max="6"/>
    <col width="33.59999999999999" customWidth="1" min="7" max="7"/>
    <col width="16" customWidth="1" min="8" max="8"/>
  </cols>
  <sheetData>
    <row r="1">
      <c r="A1" s="1" t="inlineStr">
        <is>
          <t>Rădăcină</t>
        </is>
      </c>
      <c r="B1" s="1" t="inlineStr">
        <is>
          <t>Cale completă</t>
        </is>
      </c>
      <c r="C1" s="1" t="inlineStr">
        <is>
          <t>Nume</t>
        </is>
      </c>
      <c r="D1" s="1" t="inlineStr">
        <is>
          <t>Extensie</t>
        </is>
      </c>
      <c r="E1" s="1" t="inlineStr">
        <is>
          <t>Octeți</t>
        </is>
      </c>
      <c r="F1" s="1" t="inlineStr">
        <is>
          <t>Modificare</t>
        </is>
      </c>
      <c r="G1" s="1" t="inlineStr">
        <is>
          <t>Verificare conținut</t>
        </is>
      </c>
      <c r="H1" s="1" t="inlineStr">
        <is>
          <t>Rezultate</t>
        </is>
      </c>
    </row>
    <row r="2">
      <c r="A2" s="2" t="inlineStr">
        <is>
          <t>\\192.168.100.169\Comun\00. Proiecte 2026 - SCRIEM</t>
        </is>
      </c>
      <c r="B2" s="2" t="inlineStr">
        <is>
          <t>\\192.168.100.169\Comun\00. Proiecte 2026 - SCRIEM\09.2026 Baterii AFM\User_parola_Platforma_AFM.docx</t>
        </is>
      </c>
      <c r="C2" s="2" t="inlineStr">
        <is>
          <t>User_parola_Platforma_AFM.docx</t>
        </is>
      </c>
      <c r="D2" s="2" t="inlineStr">
        <is>
          <t>.docx</t>
        </is>
      </c>
      <c r="E2" s="2" t="n">
        <v>12538</v>
      </c>
      <c r="F2" s="2" t="inlineStr">
        <is>
          <t>2026-09-24T11:05:01</t>
        </is>
      </c>
      <c r="G2" s="2" t="inlineStr">
        <is>
          <t>exclus din citirea conținutului: fișier de acces</t>
        </is>
      </c>
      <c r="H2" s="2" t="inlineStr"/>
    </row>
    <row r="3">
      <c r="A3" s="2" t="inlineStr">
        <is>
          <t>\\192.168.100.169\Comun\00. Proiecte 2026 - SCRIEM</t>
        </is>
      </c>
      <c r="B3" s="2" t="inlineStr">
        <is>
          <t>\\192.168.100.169\Comun\00. Proiecte 2026 - SCRIEM\09.2026 Baterii AFM\Proiect 1- Covaciu Cosmin Adrian\1. Cererea de finanțare\Anexa3_Cerere_de_finantare_AFM_baterii.docx</t>
        </is>
      </c>
      <c r="C3" s="2" t="inlineStr">
        <is>
          <t>Anexa3_Cerere_de_finantare_AFM_baterii.docx</t>
        </is>
      </c>
      <c r="D3" s="2" t="inlineStr">
        <is>
          <t>.docx</t>
        </is>
      </c>
      <c r="E3" s="2" t="n">
        <v>40375</v>
      </c>
      <c r="F3" s="2" t="inlineStr">
        <is>
          <t>2026-09-24T11:25:09</t>
        </is>
      </c>
      <c r="G3" s="2" t="inlineStr">
        <is>
          <t>text Word integral</t>
        </is>
      </c>
      <c r="H3" s="2" t="inlineStr"/>
    </row>
    <row r="4">
      <c r="A4" s="2" t="inlineStr">
        <is>
          <t>\\192.168.100.169\Comun\00. Proiecte 2026 - SCRIEM</t>
        </is>
      </c>
      <c r="B4" s="2" t="inlineStr">
        <is>
          <t>\\192.168.100.169\Comun\00. Proiecte 2026 - SCRIEM\09.2026 Baterii AFM\Proiect 1- Covaciu Cosmin Adrian\2. Actul de identitate,\CI_Cosmin_Adrian_Covaciu.pdf</t>
        </is>
      </c>
      <c r="C4" s="2" t="inlineStr">
        <is>
          <t>CI_Cosmin_Adrian_Covaciu.pdf</t>
        </is>
      </c>
      <c r="D4" s="2" t="inlineStr">
        <is>
          <t>.pdf</t>
        </is>
      </c>
      <c r="E4" s="2" t="n">
        <v>3076517</v>
      </c>
      <c r="F4" s="2" t="inlineStr">
        <is>
          <t>2026-03-17T13:24:43</t>
        </is>
      </c>
      <c r="G4" s="2" t="inlineStr">
        <is>
          <t>text PDF integral</t>
        </is>
      </c>
      <c r="H4" s="2" t="inlineStr"/>
    </row>
    <row r="5">
      <c r="A5" s="2" t="inlineStr">
        <is>
          <t>\\192.168.100.169\Comun\00. Proiecte 2026 - SCRIEM</t>
        </is>
      </c>
      <c r="B5" s="2" t="inlineStr">
        <is>
          <t>\\192.168.100.169\Comun\00. Proiecte 2026 - SCRIEM\09.2026 Baterii AFM\Proiect 1- Covaciu Cosmin Adrian\2. Actul de identitate,\COVACIU_COSMIN-ADRIAN_1761031927.pdf</t>
        </is>
      </c>
      <c r="C5" s="2" t="inlineStr">
        <is>
          <t>COVACIU_COSMIN-ADRIAN_1761031927.pdf</t>
        </is>
      </c>
      <c r="D5" s="2" t="inlineStr">
        <is>
          <t>.pdf</t>
        </is>
      </c>
      <c r="E5" s="2" t="n">
        <v>195538</v>
      </c>
      <c r="F5" s="2" t="inlineStr">
        <is>
          <t>2026-09-24T11:28:14</t>
        </is>
      </c>
      <c r="G5" s="2" t="inlineStr">
        <is>
          <t>text PDF integral</t>
        </is>
      </c>
      <c r="H5" s="2" t="inlineStr"/>
    </row>
    <row r="6">
      <c r="A6" s="2" t="inlineStr">
        <is>
          <t>\\192.168.100.169\Comun\00. Proiecte 2026 - SCRIEM</t>
        </is>
      </c>
      <c r="B6" s="2" t="inlineStr">
        <is>
          <t>\\192.168.100.169\Comun\00. Proiecte 2026 - SCRIEM\09.2026 Baterii AFM\Proiect-2 Vaida Elena\1. Cererea de finanțare\Cerere_finantare_AFM_baterii_Vaida_Elena (1).docx</t>
        </is>
      </c>
      <c r="C6" s="2" t="inlineStr">
        <is>
          <t>Cerere_finantare_AFM_baterii_Vaida_Elena (1).docx</t>
        </is>
      </c>
      <c r="D6" s="2" t="inlineStr">
        <is>
          <t>.docx</t>
        </is>
      </c>
      <c r="E6" s="2" t="n">
        <v>30812</v>
      </c>
      <c r="F6" s="2" t="inlineStr">
        <is>
          <t>2026-09-24T11:47:07</t>
        </is>
      </c>
      <c r="G6" s="2" t="inlineStr">
        <is>
          <t>text Word integral</t>
        </is>
      </c>
      <c r="H6" s="2" t="inlineStr"/>
    </row>
    <row r="7">
      <c r="A7" s="2" t="inlineStr">
        <is>
          <t>\\192.168.100.169\Comun\00. Proiecte 2026 - SCRIEM</t>
        </is>
      </c>
      <c r="B7" s="2" t="inlineStr">
        <is>
          <t>\\192.168.100.169\Comun\00. Proiecte 2026 - SCRIEM\09.2026 Baterii AFM\Proiect-2 Vaida Elena\1. Cererea de finanțare\DRAFT  Anexa3_Cerere_de_finantare_AFM_baterii.docx</t>
        </is>
      </c>
      <c r="C7" s="2" t="inlineStr">
        <is>
          <t>DRAFT  Anexa3_Cerere_de_finantare_AFM_baterii.docx</t>
        </is>
      </c>
      <c r="D7" s="2" t="inlineStr">
        <is>
          <t>.docx</t>
        </is>
      </c>
      <c r="E7" s="2" t="n">
        <v>40375</v>
      </c>
      <c r="F7" s="2" t="inlineStr">
        <is>
          <t>2026-09-24T11:25:09</t>
        </is>
      </c>
      <c r="G7" s="2" t="inlineStr">
        <is>
          <t>text Word integral</t>
        </is>
      </c>
      <c r="H7" s="2" t="inlineStr"/>
    </row>
    <row r="8">
      <c r="A8" s="2" t="inlineStr">
        <is>
          <t>\\192.168.100.169\Comun\00. Proiecte 2026 - SCRIEM</t>
        </is>
      </c>
      <c r="B8" s="2" t="inlineStr">
        <is>
          <t>\\192.168.100.169\Comun\00. Proiecte 2026 - SCRIEM\09.2026 Baterii AFM\Proiect-2 Vaida Elena\2. Actul de identitate,\CI Buletin Vaida Elena.pdf</t>
        </is>
      </c>
      <c r="C8" s="2" t="inlineStr">
        <is>
          <t>CI Buletin Vaida Elena.pdf</t>
        </is>
      </c>
      <c r="D8" s="2" t="inlineStr">
        <is>
          <t>.pdf</t>
        </is>
      </c>
      <c r="E8" s="2" t="n">
        <v>976300</v>
      </c>
      <c r="F8" s="2" t="inlineStr">
        <is>
          <t>2026-02-11T10:21:06</t>
        </is>
      </c>
      <c r="G8" s="2" t="inlineStr">
        <is>
          <t>PDF fără text extractibil; OCR necesar</t>
        </is>
      </c>
      <c r="H8" s="2" t="inlineStr"/>
    </row>
    <row r="9">
      <c r="A9" s="2" t="inlineStr">
        <is>
          <t>\\192.168.100.169\Comun\00. Proiecte 2026 - SCRIEM</t>
        </is>
      </c>
      <c r="B9" s="2" t="inlineStr">
        <is>
          <t>\\192.168.100.169\Comun\00. Proiecte 2026 - SCRIEM\2026.09.30 Acțiunea 2.1 POCIDIF\CONDIȚII DE ELIGIBILITATE.docx</t>
        </is>
      </c>
      <c r="C9" s="2" t="inlineStr">
        <is>
          <t>CONDIȚII DE ELIGIBILITATE.docx</t>
        </is>
      </c>
      <c r="D9" s="2" t="inlineStr">
        <is>
          <t>.docx</t>
        </is>
      </c>
      <c r="E9" s="2" t="n">
        <v>24275</v>
      </c>
      <c r="F9" s="2" t="inlineStr">
        <is>
          <t>2026-06-26T13:40:06</t>
        </is>
      </c>
      <c r="G9" s="2" t="inlineStr">
        <is>
          <t>text Word integral</t>
        </is>
      </c>
      <c r="H9" s="2" t="inlineStr"/>
    </row>
    <row r="10">
      <c r="A10" s="2" t="inlineStr">
        <is>
          <t>\\192.168.100.169\Comun\00. Proiecte 2026 - SCRIEM</t>
        </is>
      </c>
      <c r="B10" s="2" t="inlineStr">
        <is>
          <t>\\192.168.100.169\Comun\00. Proiecte 2026 - SCRIEM\2026.09.30 Acțiunea 2.1 POCIDIF\proiectie_financiara_PoCIDIF_2_1_3M_hardware.xlsx</t>
        </is>
      </c>
      <c r="C10" s="2" t="inlineStr">
        <is>
          <t>proiectie_financiara_PoCIDIF_2_1_3M_hardware.xlsx</t>
        </is>
      </c>
      <c r="D10" s="2" t="inlineStr">
        <is>
          <t>.xlsx</t>
        </is>
      </c>
      <c r="E10" s="2" t="n">
        <v>39074</v>
      </c>
      <c r="F10" s="2" t="inlineStr">
        <is>
          <t>2026-07-08T15:08:08</t>
        </is>
      </c>
      <c r="G10" s="2" t="inlineStr">
        <is>
          <t>valori Excel; fără obiecte încorporate</t>
        </is>
      </c>
      <c r="H10" s="2" t="inlineStr"/>
    </row>
    <row r="11">
      <c r="A11" s="2" t="inlineStr">
        <is>
          <t>\\192.168.100.169\Comun\00. Proiecte 2026 - SCRIEM</t>
        </is>
      </c>
      <c r="B11" s="2" t="inlineStr">
        <is>
          <t>\\192.168.100.169\Comun\00. Proiecte 2026 - SCRIEM\2026.09.30 Acțiunea 2.1 POCIDIF\~$NDIȚII DE ELIGIBILITATE.docx</t>
        </is>
      </c>
      <c r="C11" s="2" t="inlineStr">
        <is>
          <t>~$NDIȚII DE ELIGIBILITATE.docx</t>
        </is>
      </c>
      <c r="D11" s="2" t="inlineStr">
        <is>
          <t>.docx</t>
        </is>
      </c>
      <c r="E11" s="2" t="n">
        <v>162</v>
      </c>
      <c r="F11" s="2" t="inlineStr">
        <is>
          <t>2026-07-03T12:50:52</t>
        </is>
      </c>
      <c r="G11" s="2" t="inlineStr">
        <is>
          <t>eroare: File is not a zip file</t>
        </is>
      </c>
      <c r="H11" s="2" t="inlineStr"/>
    </row>
    <row r="12">
      <c r="A12" s="2" t="inlineStr">
        <is>
          <t>\\192.168.100.169\Comun\00. Proiecte 2026 - SCRIEM</t>
        </is>
      </c>
      <c r="B12" s="2" t="inlineStr">
        <is>
          <t>\\192.168.100.169\Comun\00. Proiecte 2026 - SCRIEM\2026.09.30 Acțiunea 2.1 POCIDIF\0.ARHIVA\3b7daf66f17fdaad63fef93466d155e3-1.zip</t>
        </is>
      </c>
      <c r="C12" s="2" t="inlineStr">
        <is>
          <t>3b7daf66f17fdaad63fef93466d155e3-1.zip</t>
        </is>
      </c>
      <c r="D12" s="2" t="inlineStr">
        <is>
          <t>.zip</t>
        </is>
      </c>
      <c r="E12" s="2" t="n">
        <v>2036451</v>
      </c>
      <c r="F12" s="2" t="inlineStr">
        <is>
          <t>2026-07-03T13:13:08</t>
        </is>
      </c>
      <c r="G12" s="2" t="inlineStr">
        <is>
          <t>numai nume din arhivă; fără extragere</t>
        </is>
      </c>
      <c r="H12" s="2" t="inlineStr"/>
    </row>
    <row r="13">
      <c r="A13" s="2" t="inlineStr">
        <is>
          <t>\\192.168.100.169\Comun\00. Proiecte 2026 - SCRIEM</t>
        </is>
      </c>
      <c r="B13" s="2" t="inlineStr">
        <is>
          <t>\\192.168.100.169\Comun\00. Proiecte 2026 - SCRIEM\2026.09.30 Acțiunea 2.1 POCIDIF\1. DOCUMENTE OFICIALE\07eed9e3a80c7d225bc2a5704a93c6ff.docx</t>
        </is>
      </c>
      <c r="C13" s="2" t="inlineStr">
        <is>
          <t>07eed9e3a80c7d225bc2a5704a93c6ff.docx</t>
        </is>
      </c>
      <c r="D13" s="2" t="inlineStr">
        <is>
          <t>.docx</t>
        </is>
      </c>
      <c r="E13" s="2" t="n">
        <v>486542</v>
      </c>
      <c r="F13" s="2" t="inlineStr">
        <is>
          <t>2026-06-25T15:19:54</t>
        </is>
      </c>
      <c r="G13" s="2" t="inlineStr">
        <is>
          <t>text Word integral</t>
        </is>
      </c>
      <c r="H13" s="2" t="inlineStr"/>
    </row>
    <row r="14">
      <c r="A14" s="2" t="inlineStr">
        <is>
          <t>\\192.168.100.169\Comun\00. Proiecte 2026 - SCRIEM</t>
        </is>
      </c>
      <c r="B14" s="2" t="inlineStr">
        <is>
          <t>\\192.168.100.169\Comun\00. Proiecte 2026 - SCRIEM\2026.09.30 Acțiunea 2.1 POCIDIF\1. DOCUMENTE OFICIALE\Anexa 1 - Model și instrucțiuni de completare Cerere de  Finantare.docx</t>
        </is>
      </c>
      <c r="C14" s="2" t="inlineStr">
        <is>
          <t>Anexa 1 - Model și instrucțiuni de completare Cerere de  Finantare.docx</t>
        </is>
      </c>
      <c r="D14" s="2" t="inlineStr">
        <is>
          <t>.docx</t>
        </is>
      </c>
      <c r="E14" s="2" t="n">
        <v>121049</v>
      </c>
      <c r="F14" s="2" t="inlineStr">
        <is>
          <t>2026-06-25T15:21:48</t>
        </is>
      </c>
      <c r="G14" s="2" t="inlineStr">
        <is>
          <t>text Word integral</t>
        </is>
      </c>
      <c r="H14" s="2" t="inlineStr"/>
    </row>
    <row r="15">
      <c r="A15" s="2" t="inlineStr">
        <is>
          <t>\\192.168.100.169\Comun\00. Proiecte 2026 - SCRIEM</t>
        </is>
      </c>
      <c r="B15" s="2" t="inlineStr">
        <is>
          <t>\\192.168.100.169\Comun\00. Proiecte 2026 - SCRIEM\2026.09.30 Acțiunea 2.1 POCIDIF\1. DOCUMENTE OFICIALE\Anexa 10 - Lista codurilor CAEN excluse de la finantare.docx</t>
        </is>
      </c>
      <c r="C15" s="2" t="inlineStr">
        <is>
          <t>Anexa 10 - Lista codurilor CAEN excluse de la finantare.docx</t>
        </is>
      </c>
      <c r="D15" s="2" t="inlineStr">
        <is>
          <t>.docx</t>
        </is>
      </c>
      <c r="E15" s="2" t="n">
        <v>34452</v>
      </c>
      <c r="F15" s="2" t="inlineStr">
        <is>
          <t>2026-06-25T15:21:50</t>
        </is>
      </c>
      <c r="G15" s="2" t="inlineStr">
        <is>
          <t>text Word integral</t>
        </is>
      </c>
      <c r="H15" s="2" t="inlineStr"/>
    </row>
    <row r="16">
      <c r="A16" s="2" t="inlineStr">
        <is>
          <t>\\192.168.100.169\Comun\00. Proiecte 2026 - SCRIEM</t>
        </is>
      </c>
      <c r="B16" s="2" t="inlineStr">
        <is>
          <t>\\192.168.100.169\Comun\00. Proiecte 2026 - SCRIEM\2026.09.30 Acțiunea 2.1 POCIDIF\1. DOCUMENTE OFICIALE\Anexa 11 - Model Declaratie IMM.docx</t>
        </is>
      </c>
      <c r="C16" s="2" t="inlineStr">
        <is>
          <t>Anexa 11 - Model Declaratie IMM.docx</t>
        </is>
      </c>
      <c r="D16" s="2" t="inlineStr">
        <is>
          <t>.docx</t>
        </is>
      </c>
      <c r="E16" s="2" t="n">
        <v>36577</v>
      </c>
      <c r="F16" s="2" t="inlineStr">
        <is>
          <t>2026-06-25T15:21:50</t>
        </is>
      </c>
      <c r="G16" s="2" t="inlineStr">
        <is>
          <t>text Word integral</t>
        </is>
      </c>
      <c r="H16" s="2" t="inlineStr"/>
    </row>
    <row r="17">
      <c r="A17" s="2" t="inlineStr">
        <is>
          <t>\\192.168.100.169\Comun\00. Proiecte 2026 - SCRIEM</t>
        </is>
      </c>
      <c r="B17" s="2" t="inlineStr">
        <is>
          <t>\\192.168.100.169\Comun\00. Proiecte 2026 - SCRIEM\2026.09.30 Acțiunea 2.1 POCIDIF\1. DOCUMENTE OFICIALE\Anexa 12 - Model contract de finantare si conditii specifice.docx</t>
        </is>
      </c>
      <c r="C17" s="2" t="inlineStr">
        <is>
          <t>Anexa 12 - Model contract de finantare si conditii specifice.docx</t>
        </is>
      </c>
      <c r="D17" s="2" t="inlineStr">
        <is>
          <t>.docx</t>
        </is>
      </c>
      <c r="E17" s="2" t="n">
        <v>105162</v>
      </c>
      <c r="F17" s="2" t="inlineStr">
        <is>
          <t>2026-06-25T15:21:51</t>
        </is>
      </c>
      <c r="G17" s="2" t="inlineStr">
        <is>
          <t>text Word integral</t>
        </is>
      </c>
      <c r="H17" s="2" t="inlineStr"/>
    </row>
    <row r="18">
      <c r="A18" s="2" t="inlineStr">
        <is>
          <t>\\192.168.100.169\Comun\00. Proiecte 2026 - SCRIEM</t>
        </is>
      </c>
      <c r="B18" s="2" t="inlineStr">
        <is>
          <t>\\192.168.100.169\Comun\00. Proiecte 2026 - SCRIEM\2026.09.30 Acțiunea 2.1 POCIDIF\1. DOCUMENTE OFICIALE\Anexa 13 - Metodologie pentru reglementarea modului de diminuare a finanțării nerambursabile în cazul neîndeplinirii țintelor indicatorilor.docx</t>
        </is>
      </c>
      <c r="C18" s="2" t="inlineStr">
        <is>
          <t>Anexa 13 - Metodologie pentru reglementarea modului de diminuare a finanțării nerambursabile în cazul neîndeplinirii țintelor indicatorilor.docx</t>
        </is>
      </c>
      <c r="D18" s="2" t="inlineStr">
        <is>
          <t>.docx</t>
        </is>
      </c>
      <c r="E18" s="2" t="n">
        <v>39717</v>
      </c>
      <c r="F18" s="2" t="inlineStr">
        <is>
          <t>2026-06-25T15:21:51</t>
        </is>
      </c>
      <c r="G18" s="2" t="inlineStr">
        <is>
          <t>text Word integral</t>
        </is>
      </c>
      <c r="H18" s="2" t="inlineStr"/>
    </row>
    <row r="19">
      <c r="A19" s="2" t="inlineStr">
        <is>
          <t>\\192.168.100.169\Comun\00. Proiecte 2026 - SCRIEM</t>
        </is>
      </c>
      <c r="B19" s="2" t="inlineStr">
        <is>
          <t>\\192.168.100.169\Comun\00. Proiecte 2026 - SCRIEM\2026.09.30 Acțiunea 2.1 POCIDIF\1. DOCUMENTE OFICIALE\Anexa 14 - Metodologie verificare firma in dificultate.docx</t>
        </is>
      </c>
      <c r="C19" s="2" t="inlineStr">
        <is>
          <t>Anexa 14 - Metodologie verificare firma in dificultate.docx</t>
        </is>
      </c>
      <c r="D19" s="2" t="inlineStr">
        <is>
          <t>.docx</t>
        </is>
      </c>
      <c r="E19" s="2" t="n">
        <v>31150</v>
      </c>
      <c r="F19" s="2" t="inlineStr">
        <is>
          <t>2026-06-25T15:21:51</t>
        </is>
      </c>
      <c r="G19" s="2" t="inlineStr">
        <is>
          <t>text Word integral</t>
        </is>
      </c>
      <c r="H19" s="2" t="inlineStr"/>
    </row>
    <row r="20">
      <c r="A20" s="2" t="inlineStr">
        <is>
          <t>\\192.168.100.169\Comun\00. Proiecte 2026 - SCRIEM</t>
        </is>
      </c>
      <c r="B20" s="2" t="inlineStr">
        <is>
          <t>\\192.168.100.169\Comun\00. Proiecte 2026 - SCRIEM\2026.09.30 Acțiunea 2.1 POCIDIF\1. DOCUMENTE OFICIALE\Anexa 15 - Calcul firma in dificultate.xlsx</t>
        </is>
      </c>
      <c r="C20" s="2" t="inlineStr">
        <is>
          <t>Anexa 15 - Calcul firma in dificultate.xlsx</t>
        </is>
      </c>
      <c r="D20" s="2" t="inlineStr">
        <is>
          <t>.xlsx</t>
        </is>
      </c>
      <c r="E20" s="2" t="n">
        <v>20056</v>
      </c>
      <c r="F20" s="2" t="inlineStr">
        <is>
          <t>2026-07-31T11:00:31</t>
        </is>
      </c>
      <c r="G20" s="2" t="inlineStr">
        <is>
          <t>valori Excel; fără obiecte încorporate</t>
        </is>
      </c>
      <c r="H20" s="2" t="inlineStr"/>
    </row>
    <row r="21">
      <c r="A21" s="2" t="inlineStr">
        <is>
          <t>\\192.168.100.169\Comun\00. Proiecte 2026 - SCRIEM</t>
        </is>
      </c>
      <c r="B21" s="2" t="inlineStr">
        <is>
          <t>\\192.168.100.169\Comun\00. Proiecte 2026 - SCRIEM\2026.09.30 Acțiunea 2.1 POCIDIF\1. DOCUMENTE OFICIALE\Anexa 15 - Calcul firma in dificultate_3d.xlsx</t>
        </is>
      </c>
      <c r="C21" s="2" t="inlineStr">
        <is>
          <t>Anexa 15 - Calcul firma in dificultate_3d.xlsx</t>
        </is>
      </c>
      <c r="D21" s="2" t="inlineStr">
        <is>
          <t>.xlsx</t>
        </is>
      </c>
      <c r="E21" s="2" t="n">
        <v>20297</v>
      </c>
      <c r="F21" s="2" t="inlineStr">
        <is>
          <t>2026-07-31T11:26:32</t>
        </is>
      </c>
      <c r="G21" s="2" t="inlineStr">
        <is>
          <t>valori Excel; fără obiecte încorporate</t>
        </is>
      </c>
      <c r="H21" s="2" t="inlineStr"/>
    </row>
    <row r="22">
      <c r="A22" s="2" t="inlineStr">
        <is>
          <t>\\192.168.100.169\Comun\00. Proiecte 2026 - SCRIEM</t>
        </is>
      </c>
      <c r="B22" s="2" t="inlineStr">
        <is>
          <t>\\192.168.100.169\Comun\00. Proiecte 2026 - SCRIEM\2026.09.30 Acțiunea 2.1 POCIDIF\1. DOCUMENTE OFICIALE\Anexa 15 - Calcul firma in dificultate_dancor.xlsx</t>
        </is>
      </c>
      <c r="C22" s="2" t="inlineStr">
        <is>
          <t>Anexa 15 - Calcul firma in dificultate_dancor.xlsx</t>
        </is>
      </c>
      <c r="D22" s="2" t="inlineStr">
        <is>
          <t>.xlsx</t>
        </is>
      </c>
      <c r="E22" s="2" t="n">
        <v>20472</v>
      </c>
      <c r="F22" s="2" t="inlineStr">
        <is>
          <t>2026-07-31T11:14:15</t>
        </is>
      </c>
      <c r="G22" s="2" t="inlineStr">
        <is>
          <t>valori Excel; fără obiecte încorporate</t>
        </is>
      </c>
      <c r="H22" s="2" t="inlineStr"/>
    </row>
    <row r="23">
      <c r="A23" s="2" t="inlineStr">
        <is>
          <t>\\192.168.100.169\Comun\00. Proiecte 2026 - SCRIEM</t>
        </is>
      </c>
      <c r="B23" s="2" t="inlineStr">
        <is>
          <t>\\192.168.100.169\Comun\00. Proiecte 2026 - SCRIEM\2026.09.30 Acțiunea 2.1 POCIDIF\1. DOCUMENTE OFICIALE\Anexa 15 - Calcul firma in dificultate_marius code wnk.xlsx</t>
        </is>
      </c>
      <c r="C23" s="2" t="inlineStr">
        <is>
          <t>Anexa 15 - Calcul firma in dificultate_marius code wnk.xlsx</t>
        </is>
      </c>
      <c r="D23" s="2" t="inlineStr">
        <is>
          <t>.xlsx</t>
        </is>
      </c>
      <c r="E23" s="2" t="n">
        <v>20485</v>
      </c>
      <c r="F23" s="2" t="inlineStr">
        <is>
          <t>2026-07-31T10:50:58</t>
        </is>
      </c>
      <c r="G23" s="2" t="inlineStr">
        <is>
          <t>valori Excel; fără obiecte încorporate</t>
        </is>
      </c>
      <c r="H23" s="2" t="inlineStr"/>
    </row>
    <row r="24">
      <c r="A24" s="2" t="inlineStr">
        <is>
          <t>\\192.168.100.169\Comun\00. Proiecte 2026 - SCRIEM</t>
        </is>
      </c>
      <c r="B24" s="2" t="inlineStr">
        <is>
          <t>\\192.168.100.169\Comun\00. Proiecte 2026 - SCRIEM\2026.09.30 Acțiunea 2.1 POCIDIF\1. DOCUMENTE OFICIALE\Anexa 15 - Calcul firma in dificultate_optim.xlsx</t>
        </is>
      </c>
      <c r="C24" s="2" t="inlineStr">
        <is>
          <t>Anexa 15 - Calcul firma in dificultate_optim.xlsx</t>
        </is>
      </c>
      <c r="D24" s="2" t="inlineStr">
        <is>
          <t>.xlsx</t>
        </is>
      </c>
      <c r="E24" s="2" t="n">
        <v>20418</v>
      </c>
      <c r="F24" s="2" t="inlineStr">
        <is>
          <t>2026-07-31T10:58:25</t>
        </is>
      </c>
      <c r="G24" s="2" t="inlineStr">
        <is>
          <t>valori Excel; fără obiecte încorporate</t>
        </is>
      </c>
      <c r="H24" s="2" t="inlineStr"/>
    </row>
    <row r="25">
      <c r="A25" s="2" t="inlineStr">
        <is>
          <t>\\192.168.100.169\Comun\00. Proiecte 2026 - SCRIEM</t>
        </is>
      </c>
      <c r="B25" s="2" t="inlineStr">
        <is>
          <t>\\192.168.100.169\Comun\00. Proiecte 2026 - SCRIEM\2026.09.30 Acțiunea 2.1 POCIDIF\1. DOCUMENTE OFICIALE\Anexa 15 - Calcul firma in dificultate_srm.xlsx</t>
        </is>
      </c>
      <c r="C25" s="2" t="inlineStr">
        <is>
          <t>Anexa 15 - Calcul firma in dificultate_srm.xlsx</t>
        </is>
      </c>
      <c r="D25" s="2" t="inlineStr">
        <is>
          <t>.xlsx</t>
        </is>
      </c>
      <c r="E25" s="2" t="n">
        <v>20461</v>
      </c>
      <c r="F25" s="2" t="inlineStr">
        <is>
          <t>2026-07-31T11:21:19</t>
        </is>
      </c>
      <c r="G25" s="2" t="inlineStr">
        <is>
          <t>valori Excel; fără obiecte încorporate</t>
        </is>
      </c>
      <c r="H25" s="2" t="inlineStr"/>
    </row>
    <row r="26">
      <c r="A26" s="2" t="inlineStr">
        <is>
          <t>\\192.168.100.169\Comun\00. Proiecte 2026 - SCRIEM</t>
        </is>
      </c>
      <c r="B26" s="2" t="inlineStr">
        <is>
          <t>\\192.168.100.169\Comun\00. Proiecte 2026 - SCRIEM\2026.09.30 Acțiunea 2.1 POCIDIF\1. DOCUMENTE OFICIALE\Anexa 16 - Tabel corelare buget-activități.xlsx</t>
        </is>
      </c>
      <c r="C26" s="2" t="inlineStr">
        <is>
          <t>Anexa 16 - Tabel corelare buget-activități.xlsx</t>
        </is>
      </c>
      <c r="D26" s="2" t="inlineStr">
        <is>
          <t>.xlsx</t>
        </is>
      </c>
      <c r="E26" s="2" t="n">
        <v>16210</v>
      </c>
      <c r="F26" s="2" t="inlineStr">
        <is>
          <t>2026-06-25T15:21:52</t>
        </is>
      </c>
      <c r="G26" s="2" t="inlineStr">
        <is>
          <t>valori Excel; fără obiecte încorporate</t>
        </is>
      </c>
      <c r="H26" s="2" t="inlineStr"/>
    </row>
    <row r="27">
      <c r="A27" s="2" t="inlineStr">
        <is>
          <t>\\192.168.100.169\Comun\00. Proiecte 2026 - SCRIEM</t>
        </is>
      </c>
      <c r="B27" s="2" t="inlineStr">
        <is>
          <t>\\192.168.100.169\Comun\00. Proiecte 2026 - SCRIEM\2026.09.30 Acțiunea 2.1 POCIDIF\1. DOCUMENTE OFICIALE\Anexa 17 - Model de Acord de parteneriat.docx</t>
        </is>
      </c>
      <c r="C27" s="2" t="inlineStr">
        <is>
          <t>Anexa 17 - Model de Acord de parteneriat.docx</t>
        </is>
      </c>
      <c r="D27" s="2" t="inlineStr">
        <is>
          <t>.docx</t>
        </is>
      </c>
      <c r="E27" s="2" t="n">
        <v>41142</v>
      </c>
      <c r="F27" s="2" t="inlineStr">
        <is>
          <t>2026-06-25T15:21:52</t>
        </is>
      </c>
      <c r="G27" s="2" t="inlineStr">
        <is>
          <t>text Word integral</t>
        </is>
      </c>
      <c r="H27" s="2" t="inlineStr"/>
    </row>
    <row r="28">
      <c r="A28" s="2" t="inlineStr">
        <is>
          <t>\\192.168.100.169\Comun\00. Proiecte 2026 - SCRIEM</t>
        </is>
      </c>
      <c r="B28" s="2" t="inlineStr">
        <is>
          <t>\\192.168.100.169\Comun\00. Proiecte 2026 - SCRIEM\2026.09.30 Acțiunea 2.1 POCIDIF\1. DOCUMENTE OFICIALE\Anexa 18 - Declaratie cumul ajutoare.docx</t>
        </is>
      </c>
      <c r="C28" s="2" t="inlineStr">
        <is>
          <t>Anexa 18 - Declaratie cumul ajutoare.docx</t>
        </is>
      </c>
      <c r="D28" s="2" t="inlineStr">
        <is>
          <t>.docx</t>
        </is>
      </c>
      <c r="E28" s="2" t="n">
        <v>23706</v>
      </c>
      <c r="F28" s="2" t="inlineStr">
        <is>
          <t>2026-06-25T15:21:52</t>
        </is>
      </c>
      <c r="G28" s="2" t="inlineStr">
        <is>
          <t>text Word integral</t>
        </is>
      </c>
      <c r="H28" s="2" t="inlineStr"/>
    </row>
    <row r="29">
      <c r="A29" s="2" t="inlineStr">
        <is>
          <t>\\192.168.100.169\Comun\00. Proiecte 2026 - SCRIEM</t>
        </is>
      </c>
      <c r="B29" s="2" t="inlineStr">
        <is>
          <t>\\192.168.100.169\Comun\00. Proiecte 2026 - SCRIEM\2026.09.30 Acțiunea 2.1 POCIDIF\1. DOCUMENTE OFICIALE\Anexa 2 - Declaratia unică.docx</t>
        </is>
      </c>
      <c r="C29" s="2" t="inlineStr">
        <is>
          <t>Anexa 2 - Declaratia unică.docx</t>
        </is>
      </c>
      <c r="D29" s="2" t="inlineStr">
        <is>
          <t>.docx</t>
        </is>
      </c>
      <c r="E29" s="2" t="n">
        <v>46153</v>
      </c>
      <c r="F29" s="2" t="inlineStr">
        <is>
          <t>2026-06-25T15:21:48</t>
        </is>
      </c>
      <c r="G29" s="2" t="inlineStr">
        <is>
          <t>text Word integral</t>
        </is>
      </c>
      <c r="H29" s="2" t="inlineStr"/>
    </row>
    <row r="30">
      <c r="A30" s="2" t="inlineStr">
        <is>
          <t>\\192.168.100.169\Comun\00. Proiecte 2026 - SCRIEM</t>
        </is>
      </c>
      <c r="B30" s="2" t="inlineStr">
        <is>
          <t>\\192.168.100.169\Comun\00. Proiecte 2026 - SCRIEM\2026.09.30 Acțiunea 2.1 POCIDIF\1. DOCUMENTE OFICIALE\Anexa 3- Plan monitorizare.docx</t>
        </is>
      </c>
      <c r="C30" s="2" t="inlineStr">
        <is>
          <t>Anexa 3- Plan monitorizare.docx</t>
        </is>
      </c>
      <c r="D30" s="2" t="inlineStr">
        <is>
          <t>.docx</t>
        </is>
      </c>
      <c r="E30" s="2" t="n">
        <v>38398</v>
      </c>
      <c r="F30" s="2" t="inlineStr">
        <is>
          <t>2026-06-25T15:21:48</t>
        </is>
      </c>
      <c r="G30" s="2" t="inlineStr">
        <is>
          <t>text Word integral</t>
        </is>
      </c>
      <c r="H30" s="2" t="inlineStr"/>
    </row>
    <row r="31">
      <c r="A31" s="2" t="inlineStr">
        <is>
          <t>\\192.168.100.169\Comun\00. Proiecte 2026 - SCRIEM</t>
        </is>
      </c>
      <c r="B31" s="2" t="inlineStr">
        <is>
          <t>\\192.168.100.169\Comun\00. Proiecte 2026 - SCRIEM\2026.09.30 Acțiunea 2.1 POCIDIF\1. DOCUMENTE OFICIALE\Anexa 4 - Model Plan de afaceri.docx</t>
        </is>
      </c>
      <c r="C31" s="2" t="inlineStr">
        <is>
          <t>Anexa 4 - Model Plan de afaceri.docx</t>
        </is>
      </c>
      <c r="D31" s="2" t="inlineStr">
        <is>
          <t>.docx</t>
        </is>
      </c>
      <c r="E31" s="2" t="n">
        <v>65611</v>
      </c>
      <c r="F31" s="2" t="inlineStr">
        <is>
          <t>2026-06-25T15:21:48</t>
        </is>
      </c>
      <c r="G31" s="2" t="inlineStr">
        <is>
          <t>text Word integral</t>
        </is>
      </c>
      <c r="H31" s="2" t="inlineStr"/>
    </row>
    <row r="32">
      <c r="A32" s="2" t="inlineStr">
        <is>
          <t>\\192.168.100.169\Comun\00. Proiecte 2026 - SCRIEM</t>
        </is>
      </c>
      <c r="B32" s="2" t="inlineStr">
        <is>
          <t>\\192.168.100.169\Comun\00. Proiecte 2026 - SCRIEM\2026.09.30 Acțiunea 2.1 POCIDIF\1. DOCUMENTE OFICIALE\Anexa 5 - Model Declaratie eligibilitate TVA.doc</t>
        </is>
      </c>
      <c r="C32" s="2" t="inlineStr">
        <is>
          <t>Anexa 5 - Model Declaratie eligibilitate TVA.doc</t>
        </is>
      </c>
      <c r="D32" s="2" t="inlineStr">
        <is>
          <t>.doc</t>
        </is>
      </c>
      <c r="E32" s="2" t="n">
        <v>271360</v>
      </c>
      <c r="F32" s="2" t="inlineStr">
        <is>
          <t>2026-06-25T15:21:49</t>
        </is>
      </c>
      <c r="G32" s="2" t="inlineStr">
        <is>
          <t>format non analysé</t>
        </is>
      </c>
      <c r="H32" s="2" t="inlineStr"/>
    </row>
    <row r="33">
      <c r="A33" s="2" t="inlineStr">
        <is>
          <t>\\192.168.100.169\Comun\00. Proiecte 2026 - SCRIEM</t>
        </is>
      </c>
      <c r="B33" s="2" t="inlineStr">
        <is>
          <t>\\192.168.100.169\Comun\00. Proiecte 2026 - SCRIEM\2026.09.30 Acțiunea 2.1 POCIDIF\1. DOCUMENTE OFICIALE\Anexa 6 - Model Buget defalcat pentru verificare rezonabilitate.docx</t>
        </is>
      </c>
      <c r="C33" s="2" t="inlineStr">
        <is>
          <t>Anexa 6 - Model Buget defalcat pentru verificare rezonabilitate.docx</t>
        </is>
      </c>
      <c r="D33" s="2" t="inlineStr">
        <is>
          <t>.docx</t>
        </is>
      </c>
      <c r="E33" s="2" t="n">
        <v>55712</v>
      </c>
      <c r="F33" s="2" t="inlineStr">
        <is>
          <t>2026-06-25T15:21:49</t>
        </is>
      </c>
      <c r="G33" s="2" t="inlineStr">
        <is>
          <t>text Word integral</t>
        </is>
      </c>
      <c r="H33" s="2" t="inlineStr"/>
    </row>
    <row r="34">
      <c r="A34" s="2" t="inlineStr">
        <is>
          <t>\\192.168.100.169\Comun\00. Proiecte 2026 - SCRIEM</t>
        </is>
      </c>
      <c r="B34" s="2" t="inlineStr">
        <is>
          <t>\\192.168.100.169\Comun\00. Proiecte 2026 - SCRIEM\2026.09.30 Acțiunea 2.1 POCIDIF\1. DOCUMENTE OFICIALE\Anexa 7 –  Model centralizator de oferte.docx</t>
        </is>
      </c>
      <c r="C34" s="2" t="inlineStr">
        <is>
          <t>Anexa 7 –  Model centralizator de oferte.docx</t>
        </is>
      </c>
      <c r="D34" s="2" t="inlineStr">
        <is>
          <t>.docx</t>
        </is>
      </c>
      <c r="E34" s="2" t="n">
        <v>23858</v>
      </c>
      <c r="F34" s="2" t="inlineStr">
        <is>
          <t>2026-06-25T15:21:49</t>
        </is>
      </c>
      <c r="G34" s="2" t="inlineStr">
        <is>
          <t>text Word integral</t>
        </is>
      </c>
      <c r="H34" s="2" t="inlineStr"/>
    </row>
    <row r="35">
      <c r="A35" s="2" t="inlineStr">
        <is>
          <t>\\192.168.100.169\Comun\00. Proiecte 2026 - SCRIEM</t>
        </is>
      </c>
      <c r="B35" s="2" t="inlineStr">
        <is>
          <t>\\192.168.100.169\Comun\00. Proiecte 2026 - SCRIEM\2026.09.30 Acțiunea 2.1 POCIDIF\1. DOCUMENTE OFICIALE\Anexa 8 - Model Declaratie conflict de interese echipa proiect.docx</t>
        </is>
      </c>
      <c r="C35" s="2" t="inlineStr">
        <is>
          <t>Anexa 8 - Model Declaratie conflict de interese echipa proiect.docx</t>
        </is>
      </c>
      <c r="D35" s="2" t="inlineStr">
        <is>
          <t>.docx</t>
        </is>
      </c>
      <c r="E35" s="2" t="n">
        <v>243061</v>
      </c>
      <c r="F35" s="2" t="inlineStr">
        <is>
          <t>2026-06-25T15:21:50</t>
        </is>
      </c>
      <c r="G35" s="2" t="inlineStr">
        <is>
          <t>text Word integral</t>
        </is>
      </c>
      <c r="H35" s="2" t="inlineStr"/>
    </row>
    <row r="36">
      <c r="A36" s="2" t="inlineStr">
        <is>
          <t>\\192.168.100.169\Comun\00. Proiecte 2026 - SCRIEM</t>
        </is>
      </c>
      <c r="B36" s="2" t="inlineStr">
        <is>
          <t>\\192.168.100.169\Comun\00. Proiecte 2026 - SCRIEM\2026.09.30 Acțiunea 2.1 POCIDIF\1. DOCUMENTE OFICIALE\Anexa 9 - Grila salarizare (1).docx</t>
        </is>
      </c>
      <c r="C36" s="2" t="inlineStr">
        <is>
          <t>Anexa 9 - Grila salarizare (1).docx</t>
        </is>
      </c>
      <c r="D36" s="2" t="inlineStr">
        <is>
          <t>.docx</t>
        </is>
      </c>
      <c r="E36" s="2" t="n">
        <v>24201</v>
      </c>
      <c r="F36" s="2" t="inlineStr">
        <is>
          <t>2026-06-25T15:21:50</t>
        </is>
      </c>
      <c r="G36" s="2" t="inlineStr">
        <is>
          <t>text Word integral</t>
        </is>
      </c>
      <c r="H36" s="2" t="inlineStr"/>
    </row>
    <row r="37">
      <c r="A37" s="2" t="inlineStr">
        <is>
          <t>\\192.168.100.169\Comun\00. Proiecte 2026 - SCRIEM</t>
        </is>
      </c>
      <c r="B37" s="2" t="inlineStr">
        <is>
          <t>\\192.168.100.169\Comun\00. Proiecte 2026 - SCRIEM\2026.09.30 Acțiunea 2.1 POCIDIF\1. DOCUMENTE OFICIALE\Anexa 9 - Grila salarizare.docx</t>
        </is>
      </c>
      <c r="C37" s="2" t="inlineStr">
        <is>
          <t>Anexa 9 - Grila salarizare.docx</t>
        </is>
      </c>
      <c r="D37" s="2" t="inlineStr">
        <is>
          <t>.docx</t>
        </is>
      </c>
      <c r="E37" s="2" t="n">
        <v>23977</v>
      </c>
      <c r="F37" s="2" t="inlineStr">
        <is>
          <t>2026-07-08T14:50:20</t>
        </is>
      </c>
      <c r="G37" s="2" t="inlineStr">
        <is>
          <t>text Word integral</t>
        </is>
      </c>
      <c r="H37" s="2" t="inlineStr"/>
    </row>
    <row r="38">
      <c r="A38" s="2" t="inlineStr">
        <is>
          <t>\\192.168.100.169\Comun\00. Proiecte 2026 - SCRIEM</t>
        </is>
      </c>
      <c r="B38" s="2" t="inlineStr">
        <is>
          <t>\\192.168.100.169\Comun\00. Proiecte 2026 - SCRIEM\2026.09.30 Acțiunea 2.1 POCIDIF\1. DOCUMENTE OFICIALE\b3c67f02d72e91b8b83cd558dbea3a46.pdf</t>
        </is>
      </c>
      <c r="C38" s="2" t="inlineStr">
        <is>
          <t>b3c67f02d72e91b8b83cd558dbea3a46.pdf</t>
        </is>
      </c>
      <c r="D38" s="2" t="inlineStr">
        <is>
          <t>.pdf</t>
        </is>
      </c>
      <c r="E38" s="2" t="n">
        <v>110940</v>
      </c>
      <c r="F38" s="2" t="inlineStr">
        <is>
          <t>2026-06-25T15:19:50</t>
        </is>
      </c>
      <c r="G38" s="2" t="inlineStr">
        <is>
          <t>text PDF integral</t>
        </is>
      </c>
      <c r="H38" s="2" t="inlineStr"/>
    </row>
    <row r="39">
      <c r="A39" s="2" t="inlineStr">
        <is>
          <t>\\192.168.100.169\Comun\00. Proiecte 2026 - SCRIEM</t>
        </is>
      </c>
      <c r="B39" s="2" t="inlineStr">
        <is>
          <t>\\192.168.100.169\Comun\00. Proiecte 2026 - SCRIEM\2026.09.30 Acțiunea 2.1 POCIDIF\1. DOCUMENTE OFICIALE\d6bee3673c763582ff4b4fce5be59861.pdf</t>
        </is>
      </c>
      <c r="C39" s="2" t="inlineStr">
        <is>
          <t>d6bee3673c763582ff4b4fce5be59861.pdf</t>
        </is>
      </c>
      <c r="D39" s="2" t="inlineStr">
        <is>
          <t>.pdf</t>
        </is>
      </c>
      <c r="E39" s="2" t="n">
        <v>702357</v>
      </c>
      <c r="F39" s="2" t="inlineStr">
        <is>
          <t>2026-06-25T15:19:55</t>
        </is>
      </c>
      <c r="G39" s="2" t="inlineStr">
        <is>
          <t>text PDF integral</t>
        </is>
      </c>
      <c r="H39" s="2" t="inlineStr"/>
    </row>
    <row r="40">
      <c r="A40" s="2" t="inlineStr">
        <is>
          <t>\\192.168.100.169\Comun\00. Proiecte 2026 - SCRIEM</t>
        </is>
      </c>
      <c r="B40" s="2" t="inlineStr">
        <is>
          <t>\\192.168.100.169\Comun\00. Proiecte 2026 - SCRIEM\2026.09.30 Acțiunea 2.1 POCIDIF\1. DOCUMENTE OFICIALE\Ghid Actiunea 2.1 PoCIDIF.pdf</t>
        </is>
      </c>
      <c r="C40" s="2" t="inlineStr">
        <is>
          <t>Ghid Actiunea 2.1 PoCIDIF.pdf</t>
        </is>
      </c>
      <c r="D40" s="2" t="inlineStr">
        <is>
          <t>.pdf</t>
        </is>
      </c>
      <c r="E40" s="2" t="n">
        <v>1111572</v>
      </c>
      <c r="F40" s="2" t="inlineStr">
        <is>
          <t>2026-06-25T15:22:10</t>
        </is>
      </c>
      <c r="G40" s="2" t="inlineStr">
        <is>
          <t>text PDF integral</t>
        </is>
      </c>
      <c r="H40" s="2" t="inlineStr"/>
    </row>
    <row r="41">
      <c r="A41" s="2" t="inlineStr">
        <is>
          <t>\\192.168.100.169\Comun\00. Proiecte 2026 - SCRIEM</t>
        </is>
      </c>
      <c r="B41" s="2" t="inlineStr">
        <is>
          <t>\\192.168.100.169\Comun\00. Proiecte 2026 - SCRIEM\2026.09.30 Acțiunea 2.1 POCIDIF\1. DOCUMENTE OFICIALE\~$exa 13 - Metodologie pentru reglementarea modului de diminuare a finanțării nerambursabile în cazul neîndeplinirii țintelor indicatorilor.docx</t>
        </is>
      </c>
      <c r="C41" s="2" t="inlineStr">
        <is>
          <t>~$exa 13 - Metodologie pentru reglementarea modului de diminuare a finanțării nerambursabile în cazul neîndeplinirii țintelor indicatorilor.docx</t>
        </is>
      </c>
      <c r="D41" s="2" t="inlineStr">
        <is>
          <t>.docx</t>
        </is>
      </c>
      <c r="E41" s="2" t="n">
        <v>162</v>
      </c>
      <c r="F41" s="2" t="inlineStr">
        <is>
          <t>2026-06-25T15:21:47</t>
        </is>
      </c>
      <c r="G41" s="2" t="inlineStr">
        <is>
          <t>eroare: File is not a zip file</t>
        </is>
      </c>
      <c r="H41" s="2" t="inlineStr"/>
    </row>
    <row r="42">
      <c r="A42" s="2" t="inlineStr">
        <is>
          <t>\\192.168.100.169\Comun\00. Proiecte 2026 - SCRIEM</t>
        </is>
      </c>
      <c r="B42" s="2" t="inlineStr">
        <is>
          <t>\\192.168.100.169\Comun\00. Proiecte 2026 - SCRIEM\2026.09.30 Acțiunea 2.1 POCIDIF\P1. Dancorproiect SRL\1. Surse si analize tehnice EVA\EVA - 2 pachete echipamente Laborator.docx</t>
        </is>
      </c>
      <c r="C42" s="2" t="inlineStr">
        <is>
          <t>EVA - 2 pachete echipamente Laborator.docx</t>
        </is>
      </c>
      <c r="D42" s="2" t="inlineStr">
        <is>
          <t>.docx</t>
        </is>
      </c>
      <c r="E42" s="2" t="n">
        <v>42680</v>
      </c>
      <c r="F42" s="2" t="inlineStr">
        <is>
          <t>2026-07-05T13:43:02</t>
        </is>
      </c>
      <c r="G42" s="2" t="inlineStr">
        <is>
          <t>text Word integral</t>
        </is>
      </c>
      <c r="H42" s="2" t="inlineStr"/>
    </row>
    <row r="43">
      <c r="A43" s="2" t="inlineStr">
        <is>
          <t>\\192.168.100.169\Comun\00. Proiecte 2026 - SCRIEM</t>
        </is>
      </c>
      <c r="B43" s="2" t="inlineStr">
        <is>
          <t>\\192.168.100.169\Comun\00. Proiecte 2026 - SCRIEM\2026.09.30 Acțiunea 2.1 POCIDIF\P1. Dancorproiect SRL\1. Surse si analize tehnice EVA\EVA Analiză tehnică conectare 2 Sony-Thor.docx</t>
        </is>
      </c>
      <c r="C43" s="2" t="inlineStr">
        <is>
          <t>EVA Analiză tehnică conectare 2 Sony-Thor.docx</t>
        </is>
      </c>
      <c r="D43" s="2" t="inlineStr">
        <is>
          <t>.docx</t>
        </is>
      </c>
      <c r="E43" s="2" t="n">
        <v>27017</v>
      </c>
      <c r="F43" s="2" t="inlineStr">
        <is>
          <t>2026-07-05T13:41:20</t>
        </is>
      </c>
      <c r="G43" s="2" t="inlineStr">
        <is>
          <t>text Word integral</t>
        </is>
      </c>
      <c r="H43" s="2" t="inlineStr"/>
    </row>
    <row r="44">
      <c r="A44" s="2" t="inlineStr">
        <is>
          <t>\\192.168.100.169\Comun\00. Proiecte 2026 - SCRIEM</t>
        </is>
      </c>
      <c r="B44" s="2" t="inlineStr">
        <is>
          <t>\\192.168.100.169\Comun\00. Proiecte 2026 - SCRIEM\2026.09.30 Acțiunea 2.1 POCIDIF\P1. Dancorproiect SRL\1. Surse si analize tehnice EVA\EVA Analiză tehnică pentru conectarea a două camere Sony la Thor pentru stereo vision cu latență minimă.docx</t>
        </is>
      </c>
      <c r="C44" s="2" t="inlineStr">
        <is>
          <t>EVA Analiză tehnică pentru conectarea a două camere Sony la Thor pentru stereo vision cu latență minimă.docx</t>
        </is>
      </c>
      <c r="D44" s="2" t="inlineStr">
        <is>
          <t>.docx</t>
        </is>
      </c>
      <c r="E44" s="2" t="n">
        <v>23950</v>
      </c>
      <c r="F44" s="2" t="inlineStr">
        <is>
          <t>2026-07-06T15:11:17</t>
        </is>
      </c>
      <c r="G44" s="2" t="inlineStr">
        <is>
          <t>text Word integral</t>
        </is>
      </c>
      <c r="H44" s="2" t="inlineStr"/>
    </row>
    <row r="45">
      <c r="A45" s="2" t="inlineStr">
        <is>
          <t>\\192.168.100.169\Comun\00. Proiecte 2026 - SCRIEM</t>
        </is>
      </c>
      <c r="B45" s="2" t="inlineStr">
        <is>
          <t>\\192.168.100.169\Comun\00. Proiecte 2026 - SCRIEM\2026.09.30 Acțiunea 2.1 POCIDIF\P1. Dancorproiect SRL\1. Surse si analize tehnice EVA\EVA Produs hardware inovativ complet nou - Evaluare.docx</t>
        </is>
      </c>
      <c r="C45" s="2" t="inlineStr">
        <is>
          <t>EVA Produs hardware inovativ complet nou - Evaluare.docx</t>
        </is>
      </c>
      <c r="D45" s="2" t="inlineStr">
        <is>
          <t>.docx</t>
        </is>
      </c>
      <c r="E45" s="2" t="n">
        <v>34320</v>
      </c>
      <c r="F45" s="2" t="inlineStr">
        <is>
          <t>2026-07-06T15:13:31</t>
        </is>
      </c>
      <c r="G45" s="2" t="inlineStr">
        <is>
          <t>text Word integral</t>
        </is>
      </c>
      <c r="H45" s="2" t="inlineStr"/>
    </row>
    <row r="46">
      <c r="A46" s="2" t="inlineStr">
        <is>
          <t>\\192.168.100.169\Comun\00. Proiecte 2026 - SCRIEM</t>
        </is>
      </c>
      <c r="B46" s="2" t="inlineStr">
        <is>
          <t>\\192.168.100.169\Comun\00. Proiecte 2026 - SCRIEM\2026.09.30 Acțiunea 2.1 POCIDIF\P1. Dancorproiect SRL\1. Surse si analize tehnice EVA\Executive Summary.pdf</t>
        </is>
      </c>
      <c r="C46" s="2" t="inlineStr">
        <is>
          <t>Executive Summary.pdf</t>
        </is>
      </c>
      <c r="D46" s="2" t="inlineStr">
        <is>
          <t>.pdf</t>
        </is>
      </c>
      <c r="E46" s="2" t="n">
        <v>128342</v>
      </c>
      <c r="F46" s="2" t="inlineStr">
        <is>
          <t>2026-07-07T20:19:17</t>
        </is>
      </c>
      <c r="G46" s="2" t="inlineStr">
        <is>
          <t>text PDF integral</t>
        </is>
      </c>
      <c r="H46" s="2" t="inlineStr"/>
    </row>
    <row r="47">
      <c r="A47" s="2" t="inlineStr">
        <is>
          <t>\\192.168.100.169\Comun\00. Proiecte 2026 - SCRIEM</t>
        </is>
      </c>
      <c r="B47" s="2" t="inlineStr">
        <is>
          <t>\\192.168.100.169\Comun\00. Proiecte 2026 - SCRIEM\2026.09.30 Acțiunea 2.1 POCIDIF\P1. Dancorproiect SRL\1. Surse si analize tehnice EVA\Rezumat executiv.docx</t>
        </is>
      </c>
      <c r="C47" s="2" t="inlineStr">
        <is>
          <t>Rezumat executiv.docx</t>
        </is>
      </c>
      <c r="D47" s="2" t="inlineStr">
        <is>
          <t>.docx</t>
        </is>
      </c>
      <c r="E47" s="2" t="n">
        <v>60267</v>
      </c>
      <c r="F47" s="2" t="inlineStr">
        <is>
          <t>2026-07-07T20:48:03</t>
        </is>
      </c>
      <c r="G47" s="2" t="inlineStr">
        <is>
          <t>text Word integral</t>
        </is>
      </c>
      <c r="H47" s="2" t="inlineStr"/>
    </row>
    <row r="48">
      <c r="A48" s="2" t="inlineStr">
        <is>
          <t>\\192.168.100.169\Comun\00. Proiecte 2026 - SCRIEM</t>
        </is>
      </c>
      <c r="B48" s="2" t="inlineStr">
        <is>
          <t>\\192.168.100.169\Comun\00. Proiecte 2026 - SCRIEM\2026.09.30 Acțiunea 2.1 POCIDIF\P1. Dancorproiect SRL\1. Surse si analize tehnice EVA\Rezumat executiv.pdf</t>
        </is>
      </c>
      <c r="C48" s="2" t="inlineStr">
        <is>
          <t>Rezumat executiv.pdf</t>
        </is>
      </c>
      <c r="D48" s="2" t="inlineStr">
        <is>
          <t>.pdf</t>
        </is>
      </c>
      <c r="E48" s="2" t="n">
        <v>166064</v>
      </c>
      <c r="F48" s="2" t="inlineStr">
        <is>
          <t>2026-07-07T20:48:10</t>
        </is>
      </c>
      <c r="G48" s="2" t="inlineStr">
        <is>
          <t>text PDF integral</t>
        </is>
      </c>
      <c r="H48" s="2" t="inlineStr"/>
    </row>
    <row r="49">
      <c r="A49" s="2" t="inlineStr">
        <is>
          <t>\\192.168.100.169\Comun\00. Proiecte 2026 - SCRIEM</t>
        </is>
      </c>
      <c r="B49" s="2" t="inlineStr">
        <is>
          <t>\\192.168.100.169\Comun\00. Proiecte 2026 - SCRIEM\2026.09.30 Acțiunea 2.1 POCIDIF\P1. Dancorproiect SRL\1. Surse si analize tehnice EVA\Studiu de piață și competitori pentru proiectul EVA.docx</t>
        </is>
      </c>
      <c r="C49" s="2" t="inlineStr">
        <is>
          <t>Studiu de piață și competitori pentru proiectul EVA.docx</t>
        </is>
      </c>
      <c r="D49" s="2" t="inlineStr">
        <is>
          <t>.docx</t>
        </is>
      </c>
      <c r="E49" s="2" t="n">
        <v>23795</v>
      </c>
      <c r="F49" s="2" t="inlineStr">
        <is>
          <t>2026-07-05T13:37:43</t>
        </is>
      </c>
      <c r="G49" s="2" t="inlineStr">
        <is>
          <t>text Word integral</t>
        </is>
      </c>
      <c r="H49" s="2" t="inlineStr"/>
    </row>
    <row r="50">
      <c r="A50" s="2" t="inlineStr">
        <is>
          <t>\\192.168.100.169\Comun\00. Proiecte 2026 - SCRIEM</t>
        </is>
      </c>
      <c r="B50" s="2" t="inlineStr">
        <is>
          <t>\\192.168.100.169\Comun\00. Proiecte 2026 - SCRIEM\2026.09.30 Acțiunea 2.1 POCIDIF\P1. Dancorproiect SRL\1. Surse si analize tehnice EVA\Studiu de piață și competitori – Proiectul EVA (Empathic Virtual Assistant).docx</t>
        </is>
      </c>
      <c r="C50" s="2" t="inlineStr">
        <is>
          <t>Studiu de piață și competitori – Proiectul EVA (Empathic Virtual Assistant).docx</t>
        </is>
      </c>
      <c r="D50" s="2" t="inlineStr">
        <is>
          <t>.docx</t>
        </is>
      </c>
      <c r="E50" s="2" t="n">
        <v>80484</v>
      </c>
      <c r="F50" s="2" t="inlineStr">
        <is>
          <t>2026-07-07T20:24:19</t>
        </is>
      </c>
      <c r="G50" s="2" t="inlineStr">
        <is>
          <t>text Word integral</t>
        </is>
      </c>
      <c r="H50" s="2" t="inlineStr"/>
    </row>
    <row r="51">
      <c r="A51" s="2" t="inlineStr">
        <is>
          <t>\\192.168.100.169\Comun\00. Proiecte 2026 - SCRIEM</t>
        </is>
      </c>
      <c r="B51" s="2" t="inlineStr">
        <is>
          <t>\\192.168.100.169\Comun\00. Proiecte 2026 - SCRIEM\2026.09.30 Acțiunea 2.1 POCIDIF\P1. Dancorproiect SRL\1. Surse si analize tehnice EVA\Studiu de piață și competitori – Proiectul EVA (Empathic Virtual Assistant).pdf</t>
        </is>
      </c>
      <c r="C51" s="2" t="inlineStr">
        <is>
          <t>Studiu de piață și competitori – Proiectul EVA (Empathic Virtual Assistant).pdf</t>
        </is>
      </c>
      <c r="D51" s="2" t="inlineStr">
        <is>
          <t>.pdf</t>
        </is>
      </c>
      <c r="E51" s="2" t="n">
        <v>119396</v>
      </c>
      <c r="F51" s="2" t="inlineStr">
        <is>
          <t>2026-07-07T20:24:26</t>
        </is>
      </c>
      <c r="G51" s="2" t="inlineStr">
        <is>
          <t>text PDF integral</t>
        </is>
      </c>
      <c r="H51" s="2" t="inlineStr"/>
    </row>
    <row r="52">
      <c r="A52" s="2" t="inlineStr">
        <is>
          <t>\\192.168.100.169\Comun\00. Proiecte 2026 - SCRIEM</t>
        </is>
      </c>
      <c r="B52" s="2" t="inlineStr">
        <is>
          <t>\\192.168.100.169\Comun\00. Proiecte 2026 - SCRIEM\2026.09.30 Acțiunea 2.1 POCIDIF\P1. Dancorproiect SRL\2. Analize eligibilitate si audit\EVA - Analiză eligibilitate și roadmap PoCIDIF 2.1.docx</t>
        </is>
      </c>
      <c r="C52" s="2" t="inlineStr">
        <is>
          <t>EVA - Analiză eligibilitate și roadmap PoCIDIF 2.1.docx</t>
        </is>
      </c>
      <c r="D52" s="2" t="inlineStr">
        <is>
          <t>.docx</t>
        </is>
      </c>
      <c r="E52" s="2" t="n">
        <v>20817</v>
      </c>
      <c r="F52" s="2" t="inlineStr">
        <is>
          <t>2026-07-08T10:17:32</t>
        </is>
      </c>
      <c r="G52" s="2" t="inlineStr">
        <is>
          <t>text Word integral</t>
        </is>
      </c>
      <c r="H52" s="2" t="inlineStr"/>
    </row>
    <row r="53">
      <c r="A53" s="2" t="inlineStr">
        <is>
          <t>\\192.168.100.169\Comun\00. Proiecte 2026 - SCRIEM</t>
        </is>
      </c>
      <c r="B53" s="2" t="inlineStr">
        <is>
          <t>\\192.168.100.169\Comun\00. Proiecte 2026 - SCRIEM\2026.09.30 Acțiunea 2.1 POCIDIF\P1. Dancorproiect SRL\2. Analize eligibilitate si audit\EVA - Audit si propuneri buget PoCIDIF 2.1.docx</t>
        </is>
      </c>
      <c r="C53" s="2" t="inlineStr">
        <is>
          <t>EVA - Audit si propuneri buget PoCIDIF 2.1.docx</t>
        </is>
      </c>
      <c r="D53" s="2" t="inlineStr">
        <is>
          <t>.docx</t>
        </is>
      </c>
      <c r="E53" s="2" t="n">
        <v>20533</v>
      </c>
      <c r="F53" s="2" t="inlineStr">
        <is>
          <t>2026-07-08T20:05:27</t>
        </is>
      </c>
      <c r="G53" s="2" t="inlineStr">
        <is>
          <t>text Word integral</t>
        </is>
      </c>
      <c r="H53" s="2" t="inlineStr"/>
    </row>
    <row r="54">
      <c r="A54" s="2" t="inlineStr">
        <is>
          <t>\\192.168.100.169\Comun\00. Proiecte 2026 - SCRIEM</t>
        </is>
      </c>
      <c r="B54" s="2" t="inlineStr">
        <is>
          <t>\\192.168.100.169\Comun\00. Proiecte 2026 - SCRIEM\2026.09.30 Acțiunea 2.1 POCIDIF\P1. Dancorproiect SRL\2. Analize eligibilitate si audit\EVA - Evaluare, punctaj si mapare MySMIS.xlsx</t>
        </is>
      </c>
      <c r="C54" s="2" t="inlineStr">
        <is>
          <t>EVA - Evaluare, punctaj si mapare MySMIS.xlsx</t>
        </is>
      </c>
      <c r="D54" s="2" t="inlineStr">
        <is>
          <t>.xlsx</t>
        </is>
      </c>
      <c r="E54" s="2" t="n">
        <v>11693</v>
      </c>
      <c r="F54" s="2" t="inlineStr">
        <is>
          <t>2026-07-09T12:05:43</t>
        </is>
      </c>
      <c r="G54" s="2" t="inlineStr">
        <is>
          <t>valori Excel; fără obiecte încorporate</t>
        </is>
      </c>
      <c r="H54" s="2" t="inlineStr"/>
    </row>
    <row r="55">
      <c r="A55" s="2" t="inlineStr">
        <is>
          <t>\\192.168.100.169\Comun\00. Proiecte 2026 - SCRIEM</t>
        </is>
      </c>
      <c r="B55" s="2" t="inlineStr">
        <is>
          <t>\\192.168.100.169\Comun\00. Proiecte 2026 - SCRIEM\2026.09.30 Acțiunea 2.1 POCIDIF\P1. Dancorproiect SRL\2. Analize eligibilitate si audit\EVA - Raport audit buget PoCIDIF 2.1.docx</t>
        </is>
      </c>
      <c r="C55" s="2" t="inlineStr">
        <is>
          <t>EVA - Raport audit buget PoCIDIF 2.1.docx</t>
        </is>
      </c>
      <c r="D55" s="2" t="inlineStr">
        <is>
          <t>.docx</t>
        </is>
      </c>
      <c r="E55" s="2" t="n">
        <v>20809</v>
      </c>
      <c r="F55" s="2" t="inlineStr">
        <is>
          <t>2026-07-08T19:05:52</t>
        </is>
      </c>
      <c r="G55" s="2" t="inlineStr">
        <is>
          <t>text Word integral</t>
        </is>
      </c>
      <c r="H55" s="2" t="inlineStr"/>
    </row>
    <row r="56">
      <c r="A56" s="2" t="inlineStr">
        <is>
          <t>\\192.168.100.169\Comun\00. Proiecte 2026 - SCRIEM</t>
        </is>
      </c>
      <c r="B56" s="2" t="inlineStr">
        <is>
          <t>\\192.168.100.169\Comun\00. Proiecte 2026 - SCRIEM\2026.09.30 Acțiunea 2.1 POCIDIF\P1. Dancorproiect SRL\2. Analize eligibilitate si audit\EVA_Restructurare_CDI_Regional.xlsx</t>
        </is>
      </c>
      <c r="C56" s="2" t="inlineStr">
        <is>
          <t>EVA_Restructurare_CDI_Regional.xlsx</t>
        </is>
      </c>
      <c r="D56" s="2" t="inlineStr">
        <is>
          <t>.xlsx</t>
        </is>
      </c>
      <c r="E56" s="2" t="n">
        <v>13624</v>
      </c>
      <c r="F56" s="2" t="inlineStr">
        <is>
          <t>2026-07-13T17:12:33</t>
        </is>
      </c>
      <c r="G56" s="2" t="inlineStr">
        <is>
          <t>valori Excel; fără obiecte încorporate</t>
        </is>
      </c>
      <c r="H56" s="2" t="inlineStr"/>
    </row>
    <row r="57">
      <c r="A57" s="2" t="inlineStr">
        <is>
          <t>\\192.168.100.169\Comun\00. Proiecte 2026 - SCRIEM</t>
        </is>
      </c>
      <c r="B57" s="2" t="inlineStr">
        <is>
          <t>\\192.168.100.169\Comun\00. Proiecte 2026 - SCRIEM\2026.09.30 Acțiunea 2.1 POCIDIF\P1. Dancorproiect SRL\3. Buget\Cluster HPC - fise tehnice echipamente.xlsx</t>
        </is>
      </c>
      <c r="C57" s="2" t="inlineStr">
        <is>
          <t>Cluster HPC - fise tehnice echipamente.xlsx</t>
        </is>
      </c>
      <c r="D57" s="2" t="inlineStr">
        <is>
          <t>.xlsx</t>
        </is>
      </c>
      <c r="E57" s="2" t="n">
        <v>21901</v>
      </c>
      <c r="F57" s="2" t="inlineStr">
        <is>
          <t>2026-07-11T11:31:51</t>
        </is>
      </c>
      <c r="G57" s="2" t="inlineStr">
        <is>
          <t>valori Excel; fără obiecte încorporate</t>
        </is>
      </c>
      <c r="H57" s="2" t="inlineStr">
        <is>
          <t xml:space="preserve"> ofertare. Prețuri estimative, fără TVA. Necesare 2 oferte (Anexa 7). KIT-URI NVIDIA JETSON AGX THOR (testare edge)  Buget alocat 30.000 €  ·  Ajutor regional 70% Model(e) recomandat(e) NVIDIA Jetson AGX Thor Developer Kit (3 buc) Producători / furnizori (2 oferte) NVIDIA, Arrow, SEEED, Silicon Highway Rol în cluster Testarea </t>
        </is>
      </c>
    </row>
    <row r="58">
      <c r="A58" s="2" t="inlineStr">
        <is>
          <t>\\192.168.100.169\Comun\00. Proiecte 2026 - SCRIEM</t>
        </is>
      </c>
      <c r="B58" s="2" t="inlineStr">
        <is>
          <t>\\192.168.100.169\Comun\00. Proiecte 2026 - SCRIEM\2026.09.30 Acțiunea 2.1 POCIDIF\P1. Dancorproiect SRL\3. Buget\EVA_Buget_FINAL.xlsx</t>
        </is>
      </c>
      <c r="C58" s="2" t="inlineStr">
        <is>
          <t>EVA_Buget_FINAL.xlsx</t>
        </is>
      </c>
      <c r="D58" s="2" t="inlineStr">
        <is>
          <t>.xlsx</t>
        </is>
      </c>
      <c r="E58" s="2" t="n">
        <v>13813</v>
      </c>
      <c r="F58" s="2" t="inlineStr">
        <is>
          <t>2026-07-16T15:55:19</t>
        </is>
      </c>
      <c r="G58" s="2" t="inlineStr">
        <is>
          <t>valori Excel; fără obiecte încorporate</t>
        </is>
      </c>
      <c r="H58" s="2" t="inlineStr"/>
    </row>
    <row r="59">
      <c r="A59" s="2" t="inlineStr">
        <is>
          <t>\\192.168.100.169\Comun\00. Proiecte 2026 - SCRIEM</t>
        </is>
      </c>
      <c r="B59" s="2" t="inlineStr">
        <is>
          <t>\\192.168.100.169\Comun\00. Proiecte 2026 - SCRIEM\2026.09.30 Acțiunea 2.1 POCIDIF\P1. Dancorproiect SRL\3. Buget\Linie productie roboti - fise tehnice utilaje.xlsx</t>
        </is>
      </c>
      <c r="C59" s="2" t="inlineStr">
        <is>
          <t>Linie productie roboti - fise tehnice utilaje.xlsx</t>
        </is>
      </c>
      <c r="D59" s="2" t="inlineStr">
        <is>
          <t>.xlsx</t>
        </is>
      </c>
      <c r="E59" s="2" t="n">
        <v>36799</v>
      </c>
      <c r="F59" s="2" t="inlineStr">
        <is>
          <t>2026-07-11T11:19:09</t>
        </is>
      </c>
      <c r="G59" s="2" t="inlineStr">
        <is>
          <t>valori Excel; fără obiecte încorporate</t>
        </is>
      </c>
      <c r="H59" s="2" t="inlineStr"/>
    </row>
    <row r="60">
      <c r="A60" s="2" t="inlineStr">
        <is>
          <t>\\192.168.100.169\Comun\00. Proiecte 2026 - SCRIEM</t>
        </is>
      </c>
      <c r="B60" s="2" t="inlineStr">
        <is>
          <t>\\192.168.100.169\Comun\00. Proiecte 2026 - SCRIEM\2026.09.30 Acțiunea 2.1 POCIDIF\P1. Dancorproiect SRL\3. Buget\0. Arhiva\Cluster HPC.xlsx</t>
        </is>
      </c>
      <c r="C60" s="2" t="inlineStr">
        <is>
          <t>Cluster HPC.xlsx</t>
        </is>
      </c>
      <c r="D60" s="2" t="inlineStr">
        <is>
          <t>.xlsx</t>
        </is>
      </c>
      <c r="E60" s="2" t="n">
        <v>8274</v>
      </c>
      <c r="F60" s="2" t="inlineStr">
        <is>
          <t>2026-07-10T20:42:02</t>
        </is>
      </c>
      <c r="G60" s="2" t="inlineStr">
        <is>
          <t>valori Excel; fără obiecte încorporate</t>
        </is>
      </c>
      <c r="H60" s="2" t="inlineStr"/>
    </row>
    <row r="61">
      <c r="A61" s="2" t="inlineStr">
        <is>
          <t>\\192.168.100.169\Comun\00. Proiecte 2026 - SCRIEM</t>
        </is>
      </c>
      <c r="B61" s="2" t="inlineStr">
        <is>
          <t>\\192.168.100.169\Comun\00. Proiecte 2026 - SCRIEM\2026.09.30 Acțiunea 2.1 POCIDIF\P1. Dancorproiect SRL\3. Buget\0. Arhiva\EVA_Buget_consolidat.xlsx</t>
        </is>
      </c>
      <c r="C61" s="2" t="inlineStr">
        <is>
          <t>EVA_Buget_consolidat.xlsx</t>
        </is>
      </c>
      <c r="D61" s="2" t="inlineStr">
        <is>
          <t>.xlsx</t>
        </is>
      </c>
      <c r="E61" s="2" t="n">
        <v>22492</v>
      </c>
      <c r="F61" s="2" t="inlineStr">
        <is>
          <t>2026-07-10T21:02:29</t>
        </is>
      </c>
      <c r="G61" s="2" t="inlineStr">
        <is>
          <t>valori Excel; fără obiecte încorporate</t>
        </is>
      </c>
      <c r="H61" s="2" t="inlineStr">
        <is>
          <t>onstrații la client 1 5000 producători demo TOTAL INFORMARE ȘI PUBLICITATE Linie părinte: Minimis · Informare/publicitate · 010 · 30.000 €  Nr Denumire Rol / conformitate Cant. Preț unit. € Valoare € Furnizori (2 oferte) 1 Plăci/panouri durabile emblema UE OBLIG. proiect &gt;500k € (art.50(1)(c)+Anexa IX) 2 3000 signalistică 2 We</t>
        </is>
      </c>
    </row>
    <row r="62">
      <c r="A62" s="2" t="inlineStr">
        <is>
          <t>\\192.168.100.169\Comun\00. Proiecte 2026 - SCRIEM</t>
        </is>
      </c>
      <c r="B62" s="2" t="inlineStr">
        <is>
          <t>\\192.168.100.169\Comun\00. Proiecte 2026 - SCRIEM\2026.09.30 Acțiunea 2.1 POCIDIF\P1. Dancorproiect SRL\3. Buget\0. Arhiva\EVA_Buget_FINAL (v cofin 1050857 fara teste).xlsx</t>
        </is>
      </c>
      <c r="C62" s="2" t="inlineStr">
        <is>
          <t>EVA_Buget_FINAL (v cofin 1050857 fara teste).xlsx</t>
        </is>
      </c>
      <c r="D62" s="2" t="inlineStr">
        <is>
          <t>.xlsx</t>
        </is>
      </c>
      <c r="E62" s="2" t="n">
        <v>19085</v>
      </c>
      <c r="F62" s="2" t="inlineStr">
        <is>
          <t>2026-07-16T15:19:36</t>
        </is>
      </c>
      <c r="G62" s="2" t="inlineStr">
        <is>
          <t>valori Excel; fără obiecte încorporate</t>
        </is>
      </c>
      <c r="H62" s="2" t="inlineStr"/>
    </row>
    <row r="63">
      <c r="A63" s="2" t="inlineStr">
        <is>
          <t>\\192.168.100.169\Comun\00. Proiecte 2026 - SCRIEM</t>
        </is>
      </c>
      <c r="B63" s="2" t="inlineStr">
        <is>
          <t>\\192.168.100.169\Comun\00. Proiecte 2026 - SCRIEM\2026.09.30 Acțiunea 2.1 POCIDIF\P1. Dancorproiect SRL\3. Buget\0. Arhiva\EVA_Buget_FINAL (v cofin 942857).xlsx</t>
        </is>
      </c>
      <c r="C63" s="2" t="inlineStr">
        <is>
          <t>EVA_Buget_FINAL (v cofin 942857).xlsx</t>
        </is>
      </c>
      <c r="D63" s="2" t="inlineStr">
        <is>
          <t>.xlsx</t>
        </is>
      </c>
      <c r="E63" s="2" t="n">
        <v>17767</v>
      </c>
      <c r="F63" s="2" t="inlineStr">
        <is>
          <t>2026-07-14T14:33:22</t>
        </is>
      </c>
      <c r="G63" s="2" t="inlineStr">
        <is>
          <t>valori Excel; fără obiecte încorporate</t>
        </is>
      </c>
      <c r="H63" s="2" t="inlineStr"/>
    </row>
    <row r="64">
      <c r="A64" s="2" t="inlineStr">
        <is>
          <t>\\192.168.100.169\Comun\00. Proiecte 2026 - SCRIEM</t>
        </is>
      </c>
      <c r="B64" s="2" t="inlineStr">
        <is>
          <t>\\192.168.100.169\Comun\00. Proiecte 2026 - SCRIEM\2026.09.30 Acțiunea 2.1 POCIDIF\P1. Dancorproiect SRL\3. Buget\0. Arhiva\Informare si publicitate.xlsx</t>
        </is>
      </c>
      <c r="C64" s="2" t="inlineStr">
        <is>
          <t>Informare si publicitate.xlsx</t>
        </is>
      </c>
      <c r="D64" s="2" t="inlineStr">
        <is>
          <t>.xlsx</t>
        </is>
      </c>
      <c r="E64" s="2" t="n">
        <v>7493</v>
      </c>
      <c r="F64" s="2" t="inlineStr">
        <is>
          <t>2026-07-10T20:45:47</t>
        </is>
      </c>
      <c r="G64" s="2" t="inlineStr">
        <is>
          <t>valori Excel; fără obiecte încorporate</t>
        </is>
      </c>
      <c r="H64" s="2" t="inlineStr">
        <is>
          <t>VA  LINIA DE BUGET (părinte): Informare și publicitate Minimis Informare/publicitate 010 30000 Intensitate minimis 100% → Grant = 30.000 € · parte din plafonul de 300.000 € / întreprindere unică / 3 ani  Nr Cheltuială Descriere / conformitate Cant. Preț unit. € Valoare € Bază legală / ghid Furnizori posibili 1 Plăci/panouri du
ale sprijinului UE în comunicare 1 2000 Art. 50(1)(a)(b) Reg. (UE) 2021/1060 agenții digitale TOTAL Verificare vs linia de buget (30.000 €)  CERINȚE OBLIGATORII DIN GHID (de respectat strict): • Cheltuieli de informare și publicitate OBLIGATORII conform ghidului și Manualului de Identitate Vizuală (Ordin MIPE nr. 5744/2023, MO</t>
        </is>
      </c>
    </row>
    <row r="65">
      <c r="A65" s="2" t="inlineStr">
        <is>
          <t>\\192.168.100.169\Comun\00. Proiecte 2026 - SCRIEM</t>
        </is>
      </c>
      <c r="B65" s="2" t="inlineStr">
        <is>
          <t>\\192.168.100.169\Comun\00. Proiecte 2026 - SCRIEM\2026.09.30 Acțiunea 2.1 POCIDIF\P1. Dancorproiect SRL\3. Buget\0. Arhiva\Linie productie robotica.xlsx</t>
        </is>
      </c>
      <c r="C65" s="2" t="inlineStr">
        <is>
          <t>Linie productie robotica.xlsx</t>
        </is>
      </c>
      <c r="D65" s="2" t="inlineStr">
        <is>
          <t>.xlsx</t>
        </is>
      </c>
      <c r="E65" s="2" t="n">
        <v>9163</v>
      </c>
      <c r="F65" s="2" t="inlineStr">
        <is>
          <t>2026-07-10T20:39:57</t>
        </is>
      </c>
      <c r="G65" s="2" t="inlineStr">
        <is>
          <t>valori Excel; fără obiecte încorporate</t>
        </is>
      </c>
      <c r="H65" s="2" t="inlineStr"/>
    </row>
    <row r="66">
      <c r="A66" s="2" t="inlineStr">
        <is>
          <t>\\192.168.100.169\Comun\00. Proiecte 2026 - SCRIEM</t>
        </is>
      </c>
      <c r="B66" s="2" t="inlineStr">
        <is>
          <t>\\192.168.100.169\Comun\00. Proiecte 2026 - SCRIEM\2026.09.30 Acțiunea 2.1 POCIDIF\P1. Dancorproiect SRL\3. Buget\0. Arhiva\proiectie_financiara_PoCIDIF_2_1_3M_hardware (ORIGINAL).xlsx</t>
        </is>
      </c>
      <c r="C66" s="2" t="inlineStr">
        <is>
          <t>proiectie_financiara_PoCIDIF_2_1_3M_hardware (ORIGINAL).xlsx</t>
        </is>
      </c>
      <c r="D66" s="2" t="inlineStr">
        <is>
          <t>.xlsx</t>
        </is>
      </c>
      <c r="E66" s="2" t="n">
        <v>39480</v>
      </c>
      <c r="F66" s="2" t="inlineStr">
        <is>
          <t>2026-07-11T12:19:49</t>
        </is>
      </c>
      <c r="G66" s="2" t="inlineStr">
        <is>
          <t>valori Excel; fără obiecte încorporate</t>
        </is>
      </c>
      <c r="H66" s="2" t="inlineStr"/>
    </row>
    <row r="67">
      <c r="A67" s="2" t="inlineStr">
        <is>
          <t>\\192.168.100.169\Comun\00. Proiecte 2026 - SCRIEM</t>
        </is>
      </c>
      <c r="B67" s="2" t="inlineStr">
        <is>
          <t>\\192.168.100.169\Comun\00. Proiecte 2026 - SCRIEM\2026.09.30 Acțiunea 2.1 POCIDIF\P1. Dancorproiect SRL\3. Buget\0. Arhiva\proiectie_financiara_PoCIDIF_2_1_3M_hardware_REVIZUIT.xlsx</t>
        </is>
      </c>
      <c r="C67" s="2" t="inlineStr">
        <is>
          <t>proiectie_financiara_PoCIDIF_2_1_3M_hardware_REVIZUIT.xlsx</t>
        </is>
      </c>
      <c r="D67" s="2" t="inlineStr">
        <is>
          <t>.xlsx</t>
        </is>
      </c>
      <c r="E67" s="2" t="n">
        <v>30580</v>
      </c>
      <c r="F67" s="2" t="inlineStr">
        <is>
          <t>2026-07-10T20:47:43</t>
        </is>
      </c>
      <c r="G67" s="2" t="inlineStr">
        <is>
          <t>valori Excel; fără obiecte încorporate</t>
        </is>
      </c>
      <c r="H67" s="2" t="inlineStr"/>
    </row>
    <row r="68">
      <c r="A68" s="2" t="inlineStr">
        <is>
          <t>\\192.168.100.169\Comun\00. Proiecte 2026 - SCRIEM</t>
        </is>
      </c>
      <c r="B68" s="2" t="inlineStr">
        <is>
          <t>\\192.168.100.169\Comun\00. Proiecte 2026 - SCRIEM\2026.09.30 Acțiunea 2.1 POCIDIF\P1. Dancorproiect SRL\3. Buget\0. Arhiva\Promovare comercializare go-to-market.xlsx</t>
        </is>
      </c>
      <c r="C68" s="2" t="inlineStr">
        <is>
          <t>Promovare comercializare go-to-market.xlsx</t>
        </is>
      </c>
      <c r="D68" s="2" t="inlineStr">
        <is>
          <t>.xlsx</t>
        </is>
      </c>
      <c r="E68" s="2" t="n">
        <v>7508</v>
      </c>
      <c r="F68" s="2" t="inlineStr">
        <is>
          <t>2026-07-10T20:45:47</t>
        </is>
      </c>
      <c r="G68" s="2" t="inlineStr">
        <is>
          <t>valori Excel; fără obiecte încorporate</t>
        </is>
      </c>
      <c r="H68" s="2" t="inlineStr"/>
    </row>
    <row r="69">
      <c r="A69" s="2" t="inlineStr">
        <is>
          <t>\\192.168.100.169\Comun\00. Proiecte 2026 - SCRIEM</t>
        </is>
      </c>
      <c r="B69" s="2" t="inlineStr">
        <is>
          <t>\\192.168.100.169\Comun\00. Proiecte 2026 - SCRIEM\2026.09.30 Acțiunea 2.1 POCIDIF\P1. Dancorproiect SRL\4. Dosar depunere\00 - CUPRINS dosar depunere - CUI 47344051.docx</t>
        </is>
      </c>
      <c r="C69" s="2" t="inlineStr">
        <is>
          <t>00 - CUPRINS dosar depunere - CUI 47344051.docx</t>
        </is>
      </c>
      <c r="D69" s="2" t="inlineStr">
        <is>
          <t>.docx</t>
        </is>
      </c>
      <c r="E69" s="2" t="n">
        <v>14846</v>
      </c>
      <c r="F69" s="2" t="inlineStr">
        <is>
          <t>2026-07-30T16:42:17</t>
        </is>
      </c>
      <c r="G69" s="2" t="inlineStr">
        <is>
          <t>text Word integral</t>
        </is>
      </c>
      <c r="H69" s="2" t="inlineStr"/>
    </row>
    <row r="70">
      <c r="A70" s="2" t="inlineStr">
        <is>
          <t>\\192.168.100.169\Comun\00. Proiecte 2026 - SCRIEM</t>
        </is>
      </c>
      <c r="B70" s="2" t="inlineStr">
        <is>
          <t>\\192.168.100.169\Comun\00. Proiecte 2026 - SCRIEM\2026.09.30 Acțiunea 2.1 POCIDIF\P1. Dancorproiect SRL\4. Dosar depunere\Anexa 1 - Cerere de finantare (continut pentru MySMIS) - CUI 47344051.docx</t>
        </is>
      </c>
      <c r="C70" s="2" t="inlineStr">
        <is>
          <t>Anexa 1 - Cerere de finantare (continut pentru MySMIS) - CUI 47344051.docx</t>
        </is>
      </c>
      <c r="D70" s="2" t="inlineStr">
        <is>
          <t>.docx</t>
        </is>
      </c>
      <c r="E70" s="2" t="n">
        <v>12382</v>
      </c>
      <c r="F70" s="2" t="inlineStr">
        <is>
          <t>2026-07-30T16:42:17</t>
        </is>
      </c>
      <c r="G70" s="2" t="inlineStr">
        <is>
          <t>text Word integral</t>
        </is>
      </c>
      <c r="H70" s="2" t="inlineStr"/>
    </row>
    <row r="71">
      <c r="A71" s="2" t="inlineStr">
        <is>
          <t>\\192.168.100.169\Comun\00. Proiecte 2026 - SCRIEM</t>
        </is>
      </c>
      <c r="B71" s="2" t="inlineStr">
        <is>
          <t>\\192.168.100.169\Comun\00. Proiecte 2026 - SCRIEM\2026.09.30 Acțiunea 2.1 POCIDIF\P1. Dancorproiect SRL\4. Dosar depunere\Anexa 11 - Declaratie IMM - CUI 47344051.docx</t>
        </is>
      </c>
      <c r="C71" s="2" t="inlineStr">
        <is>
          <t>Anexa 11 - Declaratie IMM - CUI 47344051.docx</t>
        </is>
      </c>
      <c r="D71" s="2" t="inlineStr">
        <is>
          <t>.docx</t>
        </is>
      </c>
      <c r="E71" s="2" t="n">
        <v>33167</v>
      </c>
      <c r="F71" s="2" t="inlineStr">
        <is>
          <t>2026-07-30T16:42:17</t>
        </is>
      </c>
      <c r="G71" s="2" t="inlineStr">
        <is>
          <t>text Word integral</t>
        </is>
      </c>
      <c r="H71" s="2" t="inlineStr"/>
    </row>
    <row r="72">
      <c r="A72" s="2" t="inlineStr">
        <is>
          <t>\\192.168.100.169\Comun\00. Proiecte 2026 - SCRIEM</t>
        </is>
      </c>
      <c r="B72" s="2" t="inlineStr">
        <is>
          <t>\\192.168.100.169\Comun\00. Proiecte 2026 - SCRIEM\2026.09.30 Acțiunea 2.1 POCIDIF\P1. Dancorproiect SRL\4. Dosar depunere\Anexa 15 - Calcul firma in dificultate - CUI 47344051.xlsx</t>
        </is>
      </c>
      <c r="C72" s="2" t="inlineStr">
        <is>
          <t>Anexa 15 - Calcul firma in dificultate - CUI 47344051.xlsx</t>
        </is>
      </c>
      <c r="D72" s="2" t="inlineStr">
        <is>
          <t>.xlsx</t>
        </is>
      </c>
      <c r="E72" s="2" t="n">
        <v>12744</v>
      </c>
      <c r="F72" s="2" t="inlineStr">
        <is>
          <t>2026-07-30T16:42:17</t>
        </is>
      </c>
      <c r="G72" s="2" t="inlineStr">
        <is>
          <t>valori Excel; fără obiecte încorporate</t>
        </is>
      </c>
      <c r="H72" s="2" t="inlineStr"/>
    </row>
    <row r="73">
      <c r="A73" s="2" t="inlineStr">
        <is>
          <t>\\192.168.100.169\Comun\00. Proiecte 2026 - SCRIEM</t>
        </is>
      </c>
      <c r="B73" s="2" t="inlineStr">
        <is>
          <t>\\192.168.100.169\Comun\00. Proiecte 2026 - SCRIEM\2026.09.30 Acțiunea 2.1 POCIDIF\P1. Dancorproiect SRL\4. Dosar depunere\Anexa 16 - Tabel corelare buget-activitati - CUI 47344051.xlsx</t>
        </is>
      </c>
      <c r="C73" s="2" t="inlineStr">
        <is>
          <t>Anexa 16 - Tabel corelare buget-activitati - CUI 47344051.xlsx</t>
        </is>
      </c>
      <c r="D73" s="2" t="inlineStr">
        <is>
          <t>.xlsx</t>
        </is>
      </c>
      <c r="E73" s="2" t="n">
        <v>10934</v>
      </c>
      <c r="F73" s="2" t="inlineStr">
        <is>
          <t>2026-07-30T16:42:17</t>
        </is>
      </c>
      <c r="G73" s="2" t="inlineStr">
        <is>
          <t>valori Excel; fără obiecte încorporate</t>
        </is>
      </c>
      <c r="H73" s="2" t="inlineStr"/>
    </row>
    <row r="74">
      <c r="A74" s="2" t="inlineStr">
        <is>
          <t>\\192.168.100.169\Comun\00. Proiecte 2026 - SCRIEM</t>
        </is>
      </c>
      <c r="B74" s="2" t="inlineStr">
        <is>
          <t>\\192.168.100.169\Comun\00. Proiecte 2026 - SCRIEM\2026.09.30 Acțiunea 2.1 POCIDIF\P1. Dancorproiect SRL\4. Dosar depunere\Anexa 18 - Declaratie cumul ajutoare - CUI 47344051.docx</t>
        </is>
      </c>
      <c r="C74" s="2" t="inlineStr">
        <is>
          <t>Anexa 18 - Declaratie cumul ajutoare - CUI 47344051.docx</t>
        </is>
      </c>
      <c r="D74" s="2" t="inlineStr">
        <is>
          <t>.docx</t>
        </is>
      </c>
      <c r="E74" s="2" t="n">
        <v>21331</v>
      </c>
      <c r="F74" s="2" t="inlineStr">
        <is>
          <t>2026-07-30T16:42:17</t>
        </is>
      </c>
      <c r="G74" s="2" t="inlineStr">
        <is>
          <t>text Word integral</t>
        </is>
      </c>
      <c r="H74" s="2" t="inlineStr"/>
    </row>
    <row r="75">
      <c r="A75" s="2" t="inlineStr">
        <is>
          <t>\\192.168.100.169\Comun\00. Proiecte 2026 - SCRIEM</t>
        </is>
      </c>
      <c r="B75" s="2" t="inlineStr">
        <is>
          <t>\\192.168.100.169\Comun\00. Proiecte 2026 - SCRIEM\2026.09.30 Acțiunea 2.1 POCIDIF\P1. Dancorproiect SRL\4. Dosar depunere\Anexa 2 - Declaratia unica - CUI 47344051.docx</t>
        </is>
      </c>
      <c r="C75" s="2" t="inlineStr">
        <is>
          <t>Anexa 2 - Declaratia unica - CUI 47344051.docx</t>
        </is>
      </c>
      <c r="D75" s="2" t="inlineStr">
        <is>
          <t>.docx</t>
        </is>
      </c>
      <c r="E75" s="2" t="n">
        <v>42337</v>
      </c>
      <c r="F75" s="2" t="inlineStr">
        <is>
          <t>2026-07-30T16:43:23</t>
        </is>
      </c>
      <c r="G75" s="2" t="inlineStr">
        <is>
          <t>text Word integral</t>
        </is>
      </c>
      <c r="H75" s="2" t="inlineStr"/>
    </row>
    <row r="76">
      <c r="A76" s="2" t="inlineStr">
        <is>
          <t>\\192.168.100.169\Comun\00. Proiecte 2026 - SCRIEM</t>
        </is>
      </c>
      <c r="B76" s="2" t="inlineStr">
        <is>
          <t>\\192.168.100.169\Comun\00. Proiecte 2026 - SCRIEM\2026.09.30 Acțiunea 2.1 POCIDIF\P1. Dancorproiect SRL\4. Dosar depunere\Anexa 3 - Plan monitorizare - CUI 47344051.docx</t>
        </is>
      </c>
      <c r="C76" s="2" t="inlineStr">
        <is>
          <t>Anexa 3 - Plan monitorizare - CUI 47344051.docx</t>
        </is>
      </c>
      <c r="D76" s="2" t="inlineStr">
        <is>
          <t>.docx</t>
        </is>
      </c>
      <c r="E76" s="2" t="n">
        <v>34913</v>
      </c>
      <c r="F76" s="2" t="inlineStr">
        <is>
          <t>2026-07-30T16:42:17</t>
        </is>
      </c>
      <c r="G76" s="2" t="inlineStr">
        <is>
          <t>text Word integral</t>
        </is>
      </c>
      <c r="H76" s="2" t="inlineStr"/>
    </row>
    <row r="77">
      <c r="A77" s="2" t="inlineStr">
        <is>
          <t>\\192.168.100.169\Comun\00. Proiecte 2026 - SCRIEM</t>
        </is>
      </c>
      <c r="B77" s="2" t="inlineStr">
        <is>
          <t>\\192.168.100.169\Comun\00. Proiecte 2026 - SCRIEM\2026.09.30 Acțiunea 2.1 POCIDIF\P1. Dancorproiect SRL\4. Dosar depunere\Anexa 4 - Plan de afaceri - CUI 47344051.docx</t>
        </is>
      </c>
      <c r="C77" s="2" t="inlineStr">
        <is>
          <t>Anexa 4 - Plan de afaceri - CUI 47344051.docx</t>
        </is>
      </c>
      <c r="D77" s="2" t="inlineStr">
        <is>
          <t>.docx</t>
        </is>
      </c>
      <c r="E77" s="2" t="n">
        <v>10848</v>
      </c>
      <c r="F77" s="2" t="inlineStr">
        <is>
          <t>2026-07-30T16:42:17</t>
        </is>
      </c>
      <c r="G77" s="2" t="inlineStr">
        <is>
          <t>text Word integral</t>
        </is>
      </c>
      <c r="H77" s="2" t="inlineStr"/>
    </row>
    <row r="78">
      <c r="A78" s="2" t="inlineStr">
        <is>
          <t>\\192.168.100.169\Comun\00. Proiecte 2026 - SCRIEM</t>
        </is>
      </c>
      <c r="B78" s="2" t="inlineStr">
        <is>
          <t>\\192.168.100.169\Comun\00. Proiecte 2026 - SCRIEM\2026.09.30 Acțiunea 2.1 POCIDIF\P1. Dancorproiect SRL\4. Dosar depunere\Anexa 5 - Declaratie eligibilitate TVA - CUI 47344051.doc</t>
        </is>
      </c>
      <c r="C78" s="2" t="inlineStr">
        <is>
          <t>Anexa 5 - Declaratie eligibilitate TVA - CUI 47344051.doc</t>
        </is>
      </c>
      <c r="D78" s="2" t="inlineStr">
        <is>
          <t>.doc</t>
        </is>
      </c>
      <c r="E78" s="2" t="n">
        <v>271360</v>
      </c>
      <c r="F78" s="2" t="inlineStr">
        <is>
          <t>2026-06-25T15:21:49</t>
        </is>
      </c>
      <c r="G78" s="2" t="inlineStr">
        <is>
          <t>format non analysé</t>
        </is>
      </c>
      <c r="H78" s="2" t="inlineStr"/>
    </row>
    <row r="79">
      <c r="A79" s="2" t="inlineStr">
        <is>
          <t>\\192.168.100.169\Comun\00. Proiecte 2026 - SCRIEM</t>
        </is>
      </c>
      <c r="B79" s="2" t="inlineStr">
        <is>
          <t>\\192.168.100.169\Comun\00. Proiecte 2026 - SCRIEM\2026.09.30 Acțiunea 2.1 POCIDIF\P1. Dancorproiect SRL\4. Dosar depunere\Anexa 6 - Buget defalcat pentru verificare rezonabilitate - CUI 47344051.docx</t>
        </is>
      </c>
      <c r="C79" s="2" t="inlineStr">
        <is>
          <t>Anexa 6 - Buget defalcat pentru verificare rezonabilitate - CUI 47344051.docx</t>
        </is>
      </c>
      <c r="D79" s="2" t="inlineStr">
        <is>
          <t>.docx</t>
        </is>
      </c>
      <c r="E79" s="2" t="n">
        <v>49943</v>
      </c>
      <c r="F79" s="2" t="inlineStr">
        <is>
          <t>2026-07-30T16:42:18</t>
        </is>
      </c>
      <c r="G79" s="2" t="inlineStr">
        <is>
          <t>text Word integral</t>
        </is>
      </c>
      <c r="H79" s="2" t="inlineStr"/>
    </row>
    <row r="80">
      <c r="A80" s="2" t="inlineStr">
        <is>
          <t>\\192.168.100.169\Comun\00. Proiecte 2026 - SCRIEM</t>
        </is>
      </c>
      <c r="B80" s="2" t="inlineStr">
        <is>
          <t>\\192.168.100.169\Comun\00. Proiecte 2026 - SCRIEM\2026.09.30 Acțiunea 2.1 POCIDIF\P1. Dancorproiect SRL\4. Dosar depunere\Anexa 7 - Centralizator cantitati si oferte - CUI 47344051.docx</t>
        </is>
      </c>
      <c r="C80" s="2" t="inlineStr">
        <is>
          <t>Anexa 7 - Centralizator cantitati si oferte - CUI 47344051.docx</t>
        </is>
      </c>
      <c r="D80" s="2" t="inlineStr">
        <is>
          <t>.docx</t>
        </is>
      </c>
      <c r="E80" s="2" t="n">
        <v>20168</v>
      </c>
      <c r="F80" s="2" t="inlineStr">
        <is>
          <t>2026-07-30T16:42:18</t>
        </is>
      </c>
      <c r="G80" s="2" t="inlineStr">
        <is>
          <t>text Word integral</t>
        </is>
      </c>
      <c r="H80" s="2" t="inlineStr"/>
    </row>
    <row r="81">
      <c r="A81" s="2" t="inlineStr">
        <is>
          <t>\\192.168.100.169\Comun\00. Proiecte 2026 - SCRIEM</t>
        </is>
      </c>
      <c r="B81" s="2" t="inlineStr">
        <is>
          <t>\\192.168.100.169\Comun\00. Proiecte 2026 - SCRIEM\2026.09.30 Acțiunea 2.1 POCIDIF\P1. Dancorproiect SRL\4. Dosar depunere\Anexa 8 - Declaratie conflict de interese (manager de proiect) - CUI 47344051.docx</t>
        </is>
      </c>
      <c r="C81" s="2" t="inlineStr">
        <is>
          <t>Anexa 8 - Declaratie conflict de interese (manager de proiect) - CUI 47344051.docx</t>
        </is>
      </c>
      <c r="D81" s="2" t="inlineStr">
        <is>
          <t>.docx</t>
        </is>
      </c>
      <c r="E81" s="2" t="n">
        <v>217830</v>
      </c>
      <c r="F81" s="2" t="inlineStr">
        <is>
          <t>2026-07-30T16:42:18</t>
        </is>
      </c>
      <c r="G81" s="2" t="inlineStr">
        <is>
          <t>text Word integral</t>
        </is>
      </c>
      <c r="H81" s="2" t="inlineStr"/>
    </row>
    <row r="82">
      <c r="A82" s="2" t="inlineStr">
        <is>
          <t>\\192.168.100.169\Comun\00. Proiecte 2026 - SCRIEM</t>
        </is>
      </c>
      <c r="B82" s="2" t="inlineStr">
        <is>
          <t>\\192.168.100.169\Comun\00. Proiecte 2026 - SCRIEM\2026.09.30 Acțiunea 2.1 POCIDIF\P1. Dancorproiect SRL\4. Dosar depunere\Anexa 8 - Declaratie conflict de interese (responsabil financiar) - CUI 47344051.docx</t>
        </is>
      </c>
      <c r="C82" s="2" t="inlineStr">
        <is>
          <t>Anexa 8 - Declaratie conflict de interese (responsabil financiar) - CUI 47344051.docx</t>
        </is>
      </c>
      <c r="D82" s="2" t="inlineStr">
        <is>
          <t>.docx</t>
        </is>
      </c>
      <c r="E82" s="2" t="n">
        <v>217836</v>
      </c>
      <c r="F82" s="2" t="inlineStr">
        <is>
          <t>2026-07-30T16:42:18</t>
        </is>
      </c>
      <c r="G82" s="2" t="inlineStr">
        <is>
          <t>text Word integral</t>
        </is>
      </c>
      <c r="H82" s="2" t="inlineStr"/>
    </row>
    <row r="83">
      <c r="A83" s="2" t="inlineStr">
        <is>
          <t>\\192.168.100.169\Comun\00. Proiecte 2026 - SCRIEM</t>
        </is>
      </c>
      <c r="B83" s="2" t="inlineStr">
        <is>
          <t>\\192.168.100.169\Comun\00. Proiecte 2026 - SCRIEM\2026.09.30 Acțiunea 2.1 POCIDIF\P1. Dancorproiect SRL\4. Dosar depunere\Configurare linie - Varianta A (RECOMANDATA) - CUI 47344051.docx</t>
        </is>
      </c>
      <c r="C83" s="2" t="inlineStr">
        <is>
          <t>Configurare linie - Varianta A (RECOMANDATA) - CUI 47344051.docx</t>
        </is>
      </c>
      <c r="D83" s="2" t="inlineStr">
        <is>
          <t>.docx</t>
        </is>
      </c>
      <c r="E83" s="2" t="n">
        <v>21516</v>
      </c>
      <c r="F83" s="2" t="inlineStr">
        <is>
          <t>2026-07-30T16:42:18</t>
        </is>
      </c>
      <c r="G83" s="2" t="inlineStr">
        <is>
          <t>text Word integral</t>
        </is>
      </c>
      <c r="H83" s="2" t="inlineStr"/>
    </row>
    <row r="84">
      <c r="A84" s="2" t="inlineStr">
        <is>
          <t>\\192.168.100.169\Comun\00. Proiecte 2026 - SCRIEM</t>
        </is>
      </c>
      <c r="B84" s="2" t="inlineStr">
        <is>
          <t>\\192.168.100.169\Comun\00. Proiecte 2026 - SCRIEM\2026.09.30 Acțiunea 2.1 POCIDIF\P1. Dancorproiect SRL\4. Dosar depunere\Configurare linie - Varianta B (alternativa evaluata) - CUI 47344051.docx</t>
        </is>
      </c>
      <c r="C84" s="2" t="inlineStr">
        <is>
          <t>Configurare linie - Varianta B (alternativa evaluata) - CUI 47344051.docx</t>
        </is>
      </c>
      <c r="D84" s="2" t="inlineStr">
        <is>
          <t>.docx</t>
        </is>
      </c>
      <c r="E84" s="2" t="n">
        <v>20657</v>
      </c>
      <c r="F84" s="2" t="inlineStr">
        <is>
          <t>2026-07-30T16:42:18</t>
        </is>
      </c>
      <c r="G84" s="2" t="inlineStr">
        <is>
          <t>text Word integral</t>
        </is>
      </c>
      <c r="H84" s="2" t="inlineStr"/>
    </row>
    <row r="85">
      <c r="A85" s="2" t="inlineStr">
        <is>
          <t>\\192.168.100.169\Comun\00. Proiecte 2026 - SCRIEM</t>
        </is>
      </c>
      <c r="B85" s="2" t="inlineStr">
        <is>
          <t>\\192.168.100.169\Comun\00. Proiecte 2026 - SCRIEM\2026.09.30 Acțiunea 2.1 POCIDIF\P1. Dancorproiect SRL\4. Dosar depunere\Dosar evidenta TRL1-TRL6 (dovada punctului de plecare) - CUI 47344051.docx</t>
        </is>
      </c>
      <c r="C85" s="2" t="inlineStr">
        <is>
          <t>Dosar evidenta TRL1-TRL6 (dovada punctului de plecare) - CUI 47344051.docx</t>
        </is>
      </c>
      <c r="D85" s="2" t="inlineStr">
        <is>
          <t>.docx</t>
        </is>
      </c>
      <c r="E85" s="2" t="n">
        <v>23770</v>
      </c>
      <c r="F85" s="2" t="inlineStr">
        <is>
          <t>2026-07-30T16:42:18</t>
        </is>
      </c>
      <c r="G85" s="2" t="inlineStr">
        <is>
          <t>text Word integral</t>
        </is>
      </c>
      <c r="H85" s="2" t="inlineStr"/>
    </row>
    <row r="86">
      <c r="A86" s="2" t="inlineStr">
        <is>
          <t>\\192.168.100.169\Comun\00. Proiecte 2026 - SCRIEM</t>
        </is>
      </c>
      <c r="B86" s="2" t="inlineStr">
        <is>
          <t>\\192.168.100.169\Comun\00. Proiecte 2026 - SCRIEM\2026.09.30 Acțiunea 2.1 POCIDIF\P1. Dancorproiect SRL\4. Dosar depunere\Fisa de proiect TRL6-TRL9 (roadmap si conformitate CE) - CUI 47344051.docx</t>
        </is>
      </c>
      <c r="C86" s="2" t="inlineStr">
        <is>
          <t>Fisa de proiect TRL6-TRL9 (roadmap si conformitate CE) - CUI 47344051.docx</t>
        </is>
      </c>
      <c r="D86" s="2" t="inlineStr">
        <is>
          <t>.docx</t>
        </is>
      </c>
      <c r="E86" s="2" t="n">
        <v>27607</v>
      </c>
      <c r="F86" s="2" t="inlineStr">
        <is>
          <t>2026-07-30T16:42:18</t>
        </is>
      </c>
      <c r="G86" s="2" t="inlineStr">
        <is>
          <t>text Word integral</t>
        </is>
      </c>
      <c r="H86" s="2" t="inlineStr">
        <is>
          <t>000 € / 42.000 €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
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Relevanță pentru EV</t>
        </is>
      </c>
    </row>
    <row r="87">
      <c r="A87" s="2" t="inlineStr">
        <is>
          <t>\\192.168.100.169\Comun\00. Proiecte 2026 - SCRIEM</t>
        </is>
      </c>
      <c r="B87" s="2" t="inlineStr">
        <is>
          <t>\\192.168.100.169\Comun\00. Proiecte 2026 - SCRIEM\2026.09.30 Acțiunea 2.1 POCIDIF\P1. Dancorproiect SRL\4. Dosar depunere\LOI - INDUNOVA ROBOTICS SRL (16.07.2026) - CUI 47344051.docx</t>
        </is>
      </c>
      <c r="C87" s="2" t="inlineStr">
        <is>
          <t>LOI - INDUNOVA ROBOTICS SRL (16.07.2026) - CUI 47344051.docx</t>
        </is>
      </c>
      <c r="D87" s="2" t="inlineStr">
        <is>
          <t>.docx</t>
        </is>
      </c>
      <c r="E87" s="2" t="n">
        <v>10200</v>
      </c>
      <c r="F87" s="2" t="inlineStr">
        <is>
          <t>2026-07-30T16:42:18</t>
        </is>
      </c>
      <c r="G87" s="2" t="inlineStr">
        <is>
          <t>text Word integral</t>
        </is>
      </c>
      <c r="H87" s="2" t="inlineStr"/>
    </row>
    <row r="88">
      <c r="A88" s="2" t="inlineStr">
        <is>
          <t>\\192.168.100.169\Comun\00. Proiecte 2026 - SCRIEM</t>
        </is>
      </c>
      <c r="B88" s="2" t="inlineStr">
        <is>
          <t>\\192.168.100.169\Comun\00. Proiecte 2026 - SCRIEM\2026.09.30 Acțiunea 2.1 POCIDIF\P1. Dancorproiect SRL\4. Dosar depunere\LOI - INFOGRUP SRL (16.07.2026) - CUI 47344051.docx</t>
        </is>
      </c>
      <c r="C88" s="2" t="inlineStr">
        <is>
          <t>LOI - INFOGRUP SRL (16.07.2026) - CUI 47344051.docx</t>
        </is>
      </c>
      <c r="D88" s="2" t="inlineStr">
        <is>
          <t>.docx</t>
        </is>
      </c>
      <c r="E88" s="2" t="n">
        <v>10221</v>
      </c>
      <c r="F88" s="2" t="inlineStr">
        <is>
          <t>2026-07-30T16:42:18</t>
        </is>
      </c>
      <c r="G88" s="2" t="inlineStr">
        <is>
          <t>text Word integral</t>
        </is>
      </c>
      <c r="H88" s="2" t="inlineStr"/>
    </row>
    <row r="89">
      <c r="A89" s="2" t="inlineStr">
        <is>
          <t>\\192.168.100.169\Comun\00. Proiecte 2026 - SCRIEM</t>
        </is>
      </c>
      <c r="B89" s="2" t="inlineStr">
        <is>
          <t>\\192.168.100.169\Comun\00. Proiecte 2026 - SCRIEM\2026.09.30 Acțiunea 2.1 POCIDIF\P1. Dancorproiect SRL\4. Dosar depunere\LOI - IPEC SA (08.06.2026) - CUI 47344051.docx</t>
        </is>
      </c>
      <c r="C89" s="2" t="inlineStr">
        <is>
          <t>LOI - IPEC SA (08.06.2026) - CUI 47344051.docx</t>
        </is>
      </c>
      <c r="D89" s="2" t="inlineStr">
        <is>
          <t>.docx</t>
        </is>
      </c>
      <c r="E89" s="2" t="n">
        <v>9893</v>
      </c>
      <c r="F89" s="2" t="inlineStr">
        <is>
          <t>2026-07-30T16:42:18</t>
        </is>
      </c>
      <c r="G89" s="2" t="inlineStr">
        <is>
          <t>text Word integral</t>
        </is>
      </c>
      <c r="H89" s="2" t="inlineStr"/>
    </row>
    <row r="90">
      <c r="A90" s="2" t="inlineStr">
        <is>
          <t>\\192.168.100.169\Comun\00. Proiecte 2026 - SCRIEM</t>
        </is>
      </c>
      <c r="B90" s="2" t="inlineStr">
        <is>
          <t>\\192.168.100.169\Comun\00. Proiecte 2026 - SCRIEM\2026.09.30 Acțiunea 2.1 POCIDIF\P1. Dancorproiect SRL\4. Dosar depunere\Memoriu tehnic si de inovare - CUI 47344051.docx</t>
        </is>
      </c>
      <c r="C90" s="2" t="inlineStr">
        <is>
          <t>Memoriu tehnic si de inovare - CUI 47344051.docx</t>
        </is>
      </c>
      <c r="D90" s="2" t="inlineStr">
        <is>
          <t>.docx</t>
        </is>
      </c>
      <c r="E90" s="2" t="n">
        <v>18936</v>
      </c>
      <c r="F90" s="2" t="inlineStr">
        <is>
          <t>2026-07-30T16:42:19</t>
        </is>
      </c>
      <c r="G90" s="2" t="inlineStr">
        <is>
          <t>text Word integral</t>
        </is>
      </c>
      <c r="H90" s="2" t="inlineStr"/>
    </row>
    <row r="91">
      <c r="A91" s="2" t="inlineStr">
        <is>
          <t>\\192.168.100.169\Comun\00. Proiecte 2026 - SCRIEM</t>
        </is>
      </c>
      <c r="B91" s="2" t="inlineStr">
        <is>
          <t>\\192.168.100.169\Comun\00. Proiecte 2026 - SCRIEM\2026.09.30 Acțiunea 2.1 POCIDIF\P1. Dancorproiect SRL\4. Dosar depunere\Protocol pilot - IPEC SA (08.06.2026) - CUI 47344051.docx</t>
        </is>
      </c>
      <c r="C91" s="2" t="inlineStr">
        <is>
          <t>Protocol pilot - IPEC SA (08.06.2026) - CUI 47344051.docx</t>
        </is>
      </c>
      <c r="D91" s="2" t="inlineStr">
        <is>
          <t>.docx</t>
        </is>
      </c>
      <c r="E91" s="2" t="n">
        <v>10550</v>
      </c>
      <c r="F91" s="2" t="inlineStr">
        <is>
          <t>2026-07-30T16:42:19</t>
        </is>
      </c>
      <c r="G91" s="2" t="inlineStr">
        <is>
          <t>text Word integral</t>
        </is>
      </c>
      <c r="H91" s="2" t="inlineStr"/>
    </row>
    <row r="92">
      <c r="A92" s="2" t="inlineStr">
        <is>
          <t>\\192.168.100.169\Comun\00. Proiecte 2026 - SCRIEM</t>
        </is>
      </c>
      <c r="B92" s="2" t="inlineStr">
        <is>
          <t>\\192.168.100.169\Comun\00. Proiecte 2026 - SCRIEM\2026.09.30 Acțiunea 2.1 POCIDIF\P1. Dancorproiect SRL\4. Dosar depunere\Registru intrebari deschise si riscuri - CUI 47344051.docx</t>
        </is>
      </c>
      <c r="C92" s="2" t="inlineStr">
        <is>
          <t>Registru intrebari deschise si riscuri - CUI 47344051.docx</t>
        </is>
      </c>
      <c r="D92" s="2" t="inlineStr">
        <is>
          <t>.docx</t>
        </is>
      </c>
      <c r="E92" s="2" t="n">
        <v>15244</v>
      </c>
      <c r="F92" s="2" t="inlineStr">
        <is>
          <t>2026-07-30T16:42:19</t>
        </is>
      </c>
      <c r="G92" s="2" t="inlineStr">
        <is>
          <t>text Word integral</t>
        </is>
      </c>
      <c r="H92" s="2" t="inlineStr"/>
    </row>
    <row r="93">
      <c r="A93" s="2" t="inlineStr">
        <is>
          <t>\\192.168.100.169\Comun\00. Proiecte 2026 - SCRIEM</t>
        </is>
      </c>
      <c r="B93" s="2" t="inlineStr">
        <is>
          <t>\\192.168.100.169\Comun\00. Proiecte 2026 - SCRIEM\2026.09.30 Acțiunea 2.1 POCIDIF\P1. Dancorproiect SRL\4. Dosar depunere\0. Arhiva DANCOR (beneficiar schimbat 16.07.2026)\00 - CUPRINS dosar depunere - CUI 12445967.docx</t>
        </is>
      </c>
      <c r="C93" s="2" t="inlineStr">
        <is>
          <t>00 - CUPRINS dosar depunere - CUI 12445967.docx</t>
        </is>
      </c>
      <c r="D93" s="2" t="inlineStr">
        <is>
          <t>.docx</t>
        </is>
      </c>
      <c r="E93" s="2" t="n">
        <v>16516</v>
      </c>
      <c r="F93" s="2" t="inlineStr">
        <is>
          <t>2026-07-16T16:16:56</t>
        </is>
      </c>
      <c r="G93" s="2" t="inlineStr">
        <is>
          <t>text Word integral</t>
        </is>
      </c>
      <c r="H93" s="2" t="inlineStr"/>
    </row>
    <row r="94">
      <c r="A94" s="2" t="inlineStr">
        <is>
          <t>\\192.168.100.169\Comun\00. Proiecte 2026 - SCRIEM</t>
        </is>
      </c>
      <c r="B94" s="2" t="inlineStr">
        <is>
          <t>\\192.168.100.169\Comun\00. Proiecte 2026 - SCRIEM\2026.09.30 Acțiunea 2.1 POCIDIF\P1. Dancorproiect SRL\4. Dosar depunere\0. Arhiva DANCOR (beneficiar schimbat 16.07.2026)\Anexa 1 - Cerere de finantare (continut pentru MySMIS) - CUI 12445967.docx</t>
        </is>
      </c>
      <c r="C94" s="2" t="inlineStr">
        <is>
          <t>Anexa 1 - Cerere de finantare (continut pentru MySMIS) - CUI 12445967.docx</t>
        </is>
      </c>
      <c r="D94" s="2" t="inlineStr">
        <is>
          <t>.docx</t>
        </is>
      </c>
      <c r="E94" s="2" t="n">
        <v>14122</v>
      </c>
      <c r="F94" s="2" t="inlineStr">
        <is>
          <t>2026-07-16T15:28:01</t>
        </is>
      </c>
      <c r="G94" s="2" t="inlineStr">
        <is>
          <t>text Word integral</t>
        </is>
      </c>
      <c r="H94" s="2" t="inlineStr"/>
    </row>
    <row r="95">
      <c r="A95" s="2" t="inlineStr">
        <is>
          <t>\\192.168.100.169\Comun\00. Proiecte 2026 - SCRIEM</t>
        </is>
      </c>
      <c r="B95" s="2" t="inlineStr">
        <is>
          <t>\\192.168.100.169\Comun\00. Proiecte 2026 - SCRIEM\2026.09.30 Acțiunea 2.1 POCIDIF\P1. Dancorproiect SRL\4. Dosar depunere\0. Arhiva DANCOR (beneficiar schimbat 16.07.2026)\Anexa 11 - Declaratie IMM - CUI 12445967.docx</t>
        </is>
      </c>
      <c r="C95" s="2" t="inlineStr">
        <is>
          <t>Anexa 11 - Declaratie IMM - CUI 12445967.docx</t>
        </is>
      </c>
      <c r="D95" s="2" t="inlineStr">
        <is>
          <t>.docx</t>
        </is>
      </c>
      <c r="E95" s="2" t="n">
        <v>33172</v>
      </c>
      <c r="F95" s="2" t="inlineStr">
        <is>
          <t>2026-07-16T16:10:52</t>
        </is>
      </c>
      <c r="G95" s="2" t="inlineStr">
        <is>
          <t>text Word integral</t>
        </is>
      </c>
      <c r="H95" s="2" t="inlineStr"/>
    </row>
    <row r="96">
      <c r="A96" s="2" t="inlineStr">
        <is>
          <t>\\192.168.100.169\Comun\00. Proiecte 2026 - SCRIEM</t>
        </is>
      </c>
      <c r="B96" s="2" t="inlineStr">
        <is>
          <t>\\192.168.100.169\Comun\00. Proiecte 2026 - SCRIEM\2026.09.30 Acțiunea 2.1 POCIDIF\P1. Dancorproiect SRL\4. Dosar depunere\0. Arhiva DANCOR (beneficiar schimbat 16.07.2026)\Anexa 15 - Calcul firma in dificultate - CUI 12445967.xlsx</t>
        </is>
      </c>
      <c r="C96" s="2" t="inlineStr">
        <is>
          <t>Anexa 15 - Calcul firma in dificultate - CUI 12445967.xlsx</t>
        </is>
      </c>
      <c r="D96" s="2" t="inlineStr">
        <is>
          <t>.xlsx</t>
        </is>
      </c>
      <c r="E96" s="2" t="n">
        <v>19860</v>
      </c>
      <c r="F96" s="2" t="inlineStr">
        <is>
          <t>2026-06-25T15:21:51</t>
        </is>
      </c>
      <c r="G96" s="2" t="inlineStr">
        <is>
          <t>valori Excel; fără obiecte încorporate</t>
        </is>
      </c>
      <c r="H96" s="2" t="inlineStr"/>
    </row>
    <row r="97">
      <c r="A97" s="2" t="inlineStr">
        <is>
          <t>\\192.168.100.169\Comun\00. Proiecte 2026 - SCRIEM</t>
        </is>
      </c>
      <c r="B97" s="2" t="inlineStr">
        <is>
          <t>\\192.168.100.169\Comun\00. Proiecte 2026 - SCRIEM\2026.09.30 Acțiunea 2.1 POCIDIF\P1. Dancorproiect SRL\4. Dosar depunere\0. Arhiva DANCOR (beneficiar schimbat 16.07.2026)\Anexa 16 - Tabel corelare buget-activitati - CUI 12445967.xlsx</t>
        </is>
      </c>
      <c r="C97" s="2" t="inlineStr">
        <is>
          <t>Anexa 16 - Tabel corelare buget-activitati - CUI 12445967.xlsx</t>
        </is>
      </c>
      <c r="D97" s="2" t="inlineStr">
        <is>
          <t>.xlsx</t>
        </is>
      </c>
      <c r="E97" s="2" t="n">
        <v>10958</v>
      </c>
      <c r="F97" s="2" t="inlineStr">
        <is>
          <t>2026-07-16T16:14:39</t>
        </is>
      </c>
      <c r="G97" s="2" t="inlineStr">
        <is>
          <t>valori Excel; fără obiecte încorporate</t>
        </is>
      </c>
      <c r="H97" s="2" t="inlineStr"/>
    </row>
    <row r="98">
      <c r="A98" s="2" t="inlineStr">
        <is>
          <t>\\192.168.100.169\Comun\00. Proiecte 2026 - SCRIEM</t>
        </is>
      </c>
      <c r="B98" s="2" t="inlineStr">
        <is>
          <t>\\192.168.100.169\Comun\00. Proiecte 2026 - SCRIEM\2026.09.30 Acțiunea 2.1 POCIDIF\P1. Dancorproiect SRL\4. Dosar depunere\0. Arhiva DANCOR (beneficiar schimbat 16.07.2026)\Anexa 18 - Declaratie cumul ajutoare - CUI 12445967.docx</t>
        </is>
      </c>
      <c r="C98" s="2" t="inlineStr">
        <is>
          <t>Anexa 18 - Declaratie cumul ajutoare - CUI 12445967.docx</t>
        </is>
      </c>
      <c r="D98" s="2" t="inlineStr">
        <is>
          <t>.docx</t>
        </is>
      </c>
      <c r="E98" s="2" t="n">
        <v>21333</v>
      </c>
      <c r="F98" s="2" t="inlineStr">
        <is>
          <t>2026-07-16T16:10:52</t>
        </is>
      </c>
      <c r="G98" s="2" t="inlineStr">
        <is>
          <t>text Word integral</t>
        </is>
      </c>
      <c r="H98" s="2" t="inlineStr"/>
    </row>
    <row r="99">
      <c r="A99" s="2" t="inlineStr">
        <is>
          <t>\\192.168.100.169\Comun\00. Proiecte 2026 - SCRIEM</t>
        </is>
      </c>
      <c r="B99" s="2" t="inlineStr">
        <is>
          <t>\\192.168.100.169\Comun\00. Proiecte 2026 - SCRIEM\2026.09.30 Acțiunea 2.1 POCIDIF\P1. Dancorproiect SRL\4. Dosar depunere\0. Arhiva DANCOR (beneficiar schimbat 16.07.2026)\Anexa 2 - Declaratia unica - CUI 12445967.docx</t>
        </is>
      </c>
      <c r="C99" s="2" t="inlineStr">
        <is>
          <t>Anexa 2 - Declaratia unica - CUI 12445967.docx</t>
        </is>
      </c>
      <c r="D99" s="2" t="inlineStr">
        <is>
          <t>.docx</t>
        </is>
      </c>
      <c r="E99" s="2" t="n">
        <v>42337</v>
      </c>
      <c r="F99" s="2" t="inlineStr">
        <is>
          <t>2026-07-16T16:10:52</t>
        </is>
      </c>
      <c r="G99" s="2" t="inlineStr">
        <is>
          <t>text Word integral</t>
        </is>
      </c>
      <c r="H99" s="2" t="inlineStr"/>
    </row>
    <row r="100">
      <c r="A100" s="2" t="inlineStr">
        <is>
          <t>\\192.168.100.169\Comun\00. Proiecte 2026 - SCRIEM</t>
        </is>
      </c>
      <c r="B100" s="2" t="inlineStr">
        <is>
          <t>\\192.168.100.169\Comun\00. Proiecte 2026 - SCRIEM\2026.09.30 Acțiunea 2.1 POCIDIF\P1. Dancorproiect SRL\4. Dosar depunere\0. Arhiva DANCOR (beneficiar schimbat 16.07.2026)\Anexa 3 - Plan monitorizare - CUI 12445967.docx</t>
        </is>
      </c>
      <c r="C100" s="2" t="inlineStr">
        <is>
          <t>Anexa 3 - Plan monitorizare - CUI 12445967.docx</t>
        </is>
      </c>
      <c r="D100" s="2" t="inlineStr">
        <is>
          <t>.docx</t>
        </is>
      </c>
      <c r="E100" s="2" t="n">
        <v>34913</v>
      </c>
      <c r="F100" s="2" t="inlineStr">
        <is>
          <t>2026-07-16T16:10:52</t>
        </is>
      </c>
      <c r="G100" s="2" t="inlineStr">
        <is>
          <t>text Word integral</t>
        </is>
      </c>
      <c r="H100" s="2" t="inlineStr"/>
    </row>
    <row r="101">
      <c r="A101" s="2" t="inlineStr">
        <is>
          <t>\\192.168.100.169\Comun\00. Proiecte 2026 - SCRIEM</t>
        </is>
      </c>
      <c r="B101" s="2" t="inlineStr">
        <is>
          <t>\\192.168.100.169\Comun\00. Proiecte 2026 - SCRIEM\2026.09.30 Acțiunea 2.1 POCIDIF\P1. Dancorproiect SRL\4. Dosar depunere\0. Arhiva DANCOR (beneficiar schimbat 16.07.2026)\Anexa 4 - Plan de afaceri - CUI 12445967.docx</t>
        </is>
      </c>
      <c r="C101" s="2" t="inlineStr">
        <is>
          <t>Anexa 4 - Plan de afaceri - CUI 12445967.docx</t>
        </is>
      </c>
      <c r="D101" s="2" t="inlineStr">
        <is>
          <t>.docx</t>
        </is>
      </c>
      <c r="E101" s="2" t="n">
        <v>12608</v>
      </c>
      <c r="F101" s="2" t="inlineStr">
        <is>
          <t>2026-07-16T15:28:01</t>
        </is>
      </c>
      <c r="G101" s="2" t="inlineStr">
        <is>
          <t>text Word integral</t>
        </is>
      </c>
      <c r="H101" s="2" t="inlineStr"/>
    </row>
    <row r="102">
      <c r="A102" s="2" t="inlineStr">
        <is>
          <t>\\192.168.100.169\Comun\00. Proiecte 2026 - SCRIEM</t>
        </is>
      </c>
      <c r="B102" s="2" t="inlineStr">
        <is>
          <t>\\192.168.100.169\Comun\00. Proiecte 2026 - SCRIEM\2026.09.30 Acțiunea 2.1 POCIDIF\P1. Dancorproiect SRL\4. Dosar depunere\0. Arhiva DANCOR (beneficiar schimbat 16.07.2026)\Anexa 5 - Declaratie eligibilitate TVA - CUI 12445967.doc</t>
        </is>
      </c>
      <c r="C102" s="2" t="inlineStr">
        <is>
          <t>Anexa 5 - Declaratie eligibilitate TVA - CUI 12445967.doc</t>
        </is>
      </c>
      <c r="D102" s="2" t="inlineStr">
        <is>
          <t>.doc</t>
        </is>
      </c>
      <c r="E102" s="2" t="n">
        <v>271360</v>
      </c>
      <c r="F102" s="2" t="inlineStr">
        <is>
          <t>2026-06-25T15:21:49</t>
        </is>
      </c>
      <c r="G102" s="2" t="inlineStr">
        <is>
          <t>format non analysé</t>
        </is>
      </c>
      <c r="H102" s="2" t="inlineStr"/>
    </row>
    <row r="103">
      <c r="A103" s="2" t="inlineStr">
        <is>
          <t>\\192.168.100.169\Comun\00. Proiecte 2026 - SCRIEM</t>
        </is>
      </c>
      <c r="B103" s="2" t="inlineStr">
        <is>
          <t>\\192.168.100.169\Comun\00. Proiecte 2026 - SCRIEM\2026.09.30 Acțiunea 2.1 POCIDIF\P1. Dancorproiect SRL\4. Dosar depunere\0. Arhiva DANCOR (beneficiar schimbat 16.07.2026)\Anexa 6 - Buget defalcat pentru verificare rezonabilitate - CUI 12445967.docx</t>
        </is>
      </c>
      <c r="C103" s="2" t="inlineStr">
        <is>
          <t>Anexa 6 - Buget defalcat pentru verificare rezonabilitate - CUI 12445967.docx</t>
        </is>
      </c>
      <c r="D103" s="2" t="inlineStr">
        <is>
          <t>.docx</t>
        </is>
      </c>
      <c r="E103" s="2" t="n">
        <v>49943</v>
      </c>
      <c r="F103" s="2" t="inlineStr">
        <is>
          <t>2026-07-16T16:12:03</t>
        </is>
      </c>
      <c r="G103" s="2" t="inlineStr">
        <is>
          <t>text Word integral</t>
        </is>
      </c>
      <c r="H103" s="2" t="inlineStr"/>
    </row>
    <row r="104">
      <c r="A104" s="2" t="inlineStr">
        <is>
          <t>\\192.168.100.169\Comun\00. Proiecte 2026 - SCRIEM</t>
        </is>
      </c>
      <c r="B104" s="2" t="inlineStr">
        <is>
          <t>\\192.168.100.169\Comun\00. Proiecte 2026 - SCRIEM\2026.09.30 Acțiunea 2.1 POCIDIF\P1. Dancorproiect SRL\4. Dosar depunere\0. Arhiva DANCOR (beneficiar schimbat 16.07.2026)\Anexa 7 - Centralizator cantitati si oferte - CUI 12445967.docx</t>
        </is>
      </c>
      <c r="C104" s="2" t="inlineStr">
        <is>
          <t>Anexa 7 - Centralizator cantitati si oferte - CUI 12445967.docx</t>
        </is>
      </c>
      <c r="D104" s="2" t="inlineStr">
        <is>
          <t>.docx</t>
        </is>
      </c>
      <c r="E104" s="2" t="n">
        <v>20168</v>
      </c>
      <c r="F104" s="2" t="inlineStr">
        <is>
          <t>2026-07-16T16:12:03</t>
        </is>
      </c>
      <c r="G104" s="2" t="inlineStr">
        <is>
          <t>text Word integral</t>
        </is>
      </c>
      <c r="H104" s="2" t="inlineStr"/>
    </row>
    <row r="105">
      <c r="A105" s="2" t="inlineStr">
        <is>
          <t>\\192.168.100.169\Comun\00. Proiecte 2026 - SCRIEM</t>
        </is>
      </c>
      <c r="B105" s="2" t="inlineStr">
        <is>
          <t>\\192.168.100.169\Comun\00. Proiecte 2026 - SCRIEM\2026.09.30 Acțiunea 2.1 POCIDIF\P1. Dancorproiect SRL\4. Dosar depunere\0. Arhiva DANCOR (beneficiar schimbat 16.07.2026)\Anexa 8 - Declaratie conflict de interese (manager de proiect) - CUI 12445967.docx</t>
        </is>
      </c>
      <c r="C105" s="2" t="inlineStr">
        <is>
          <t>Anexa 8 - Declaratie conflict de interese (manager de proiect) - CUI 12445967.docx</t>
        </is>
      </c>
      <c r="D105" s="2" t="inlineStr">
        <is>
          <t>.docx</t>
        </is>
      </c>
      <c r="E105" s="2" t="n">
        <v>217830</v>
      </c>
      <c r="F105" s="2" t="inlineStr">
        <is>
          <t>2026-07-16T16:10:52</t>
        </is>
      </c>
      <c r="G105" s="2" t="inlineStr">
        <is>
          <t>text Word integral</t>
        </is>
      </c>
      <c r="H105" s="2" t="inlineStr"/>
    </row>
    <row r="106">
      <c r="A106" s="2" t="inlineStr">
        <is>
          <t>\\192.168.100.169\Comun\00. Proiecte 2026 - SCRIEM</t>
        </is>
      </c>
      <c r="B106" s="2" t="inlineStr">
        <is>
          <t>\\192.168.100.169\Comun\00. Proiecte 2026 - SCRIEM\2026.09.30 Acțiunea 2.1 POCIDIF\P1. Dancorproiect SRL\4. Dosar depunere\0. Arhiva DANCOR (beneficiar schimbat 16.07.2026)\Anexa 8 - Declaratie conflict de interese (responsabil financiar) - CUI 12445967.docx</t>
        </is>
      </c>
      <c r="C106" s="2" t="inlineStr">
        <is>
          <t>Anexa 8 - Declaratie conflict de interese (responsabil financiar) - CUI 12445967.docx</t>
        </is>
      </c>
      <c r="D106" s="2" t="inlineStr">
        <is>
          <t>.docx</t>
        </is>
      </c>
      <c r="E106" s="2" t="n">
        <v>217836</v>
      </c>
      <c r="F106" s="2" t="inlineStr">
        <is>
          <t>2026-07-16T16:10:52</t>
        </is>
      </c>
      <c r="G106" s="2" t="inlineStr">
        <is>
          <t>text Word integral</t>
        </is>
      </c>
      <c r="H106" s="2" t="inlineStr"/>
    </row>
    <row r="107">
      <c r="A107" s="2" t="inlineStr">
        <is>
          <t>\\192.168.100.169\Comun\00. Proiecte 2026 - SCRIEM</t>
        </is>
      </c>
      <c r="B107" s="2" t="inlineStr">
        <is>
          <t>\\192.168.100.169\Comun\00. Proiecte 2026 - SCRIEM\2026.09.30 Acțiunea 2.1 POCIDIF\P1. Dancorproiect SRL\4. Dosar depunere\0. Arhiva DANCOR (beneficiar schimbat 16.07.2026)\Configurare linie - Varianta A (RECOMANDATA) - CUI 12445967.docx</t>
        </is>
      </c>
      <c r="C107" s="2" t="inlineStr">
        <is>
          <t>Configurare linie - Varianta A (RECOMANDATA) - CUI 12445967.docx</t>
        </is>
      </c>
      <c r="D107" s="2" t="inlineStr">
        <is>
          <t>.docx</t>
        </is>
      </c>
      <c r="E107" s="2" t="n">
        <v>23258</v>
      </c>
      <c r="F107" s="2" t="inlineStr">
        <is>
          <t>2026-07-16T15:28:01</t>
        </is>
      </c>
      <c r="G107" s="2" t="inlineStr">
        <is>
          <t>text Word integral</t>
        </is>
      </c>
      <c r="H107" s="2" t="inlineStr"/>
    </row>
    <row r="108">
      <c r="A108" s="2" t="inlineStr">
        <is>
          <t>\\192.168.100.169\Comun\00. Proiecte 2026 - SCRIEM</t>
        </is>
      </c>
      <c r="B108" s="2" t="inlineStr">
        <is>
          <t>\\192.168.100.169\Comun\00. Proiecte 2026 - SCRIEM\2026.09.30 Acțiunea 2.1 POCIDIF\P1. Dancorproiect SRL\4. Dosar depunere\0. Arhiva DANCOR (beneficiar schimbat 16.07.2026)\Configurare linie - Varianta B (alternativa evaluata) - CUI 12445967.docx</t>
        </is>
      </c>
      <c r="C108" s="2" t="inlineStr">
        <is>
          <t>Configurare linie - Varianta B (alternativa evaluata) - CUI 12445967.docx</t>
        </is>
      </c>
      <c r="D108" s="2" t="inlineStr">
        <is>
          <t>.docx</t>
        </is>
      </c>
      <c r="E108" s="2" t="n">
        <v>22399</v>
      </c>
      <c r="F108" s="2" t="inlineStr">
        <is>
          <t>2026-07-16T15:28:01</t>
        </is>
      </c>
      <c r="G108" s="2" t="inlineStr">
        <is>
          <t>text Word integral</t>
        </is>
      </c>
      <c r="H108" s="2" t="inlineStr"/>
    </row>
    <row r="109">
      <c r="A109" s="2" t="inlineStr">
        <is>
          <t>\\192.168.100.169\Comun\00. Proiecte 2026 - SCRIEM</t>
        </is>
      </c>
      <c r="B109" s="2" t="inlineStr">
        <is>
          <t>\\192.168.100.169\Comun\00. Proiecte 2026 - SCRIEM\2026.09.30 Acțiunea 2.1 POCIDIF\P1. Dancorproiect SRL\4. Dosar depunere\0. Arhiva DANCOR (beneficiar schimbat 16.07.2026)\Dosar evidenta TRL1-TRL6 (dovada punctului de plecare) - CUI 12445967.docx</t>
        </is>
      </c>
      <c r="C109" s="2" t="inlineStr">
        <is>
          <t>Dosar evidenta TRL1-TRL6 (dovada punctului de plecare) - CUI 12445967.docx</t>
        </is>
      </c>
      <c r="D109" s="2" t="inlineStr">
        <is>
          <t>.docx</t>
        </is>
      </c>
      <c r="E109" s="2" t="n">
        <v>25518</v>
      </c>
      <c r="F109" s="2" t="inlineStr">
        <is>
          <t>2026-07-16T15:26:15</t>
        </is>
      </c>
      <c r="G109" s="2" t="inlineStr">
        <is>
          <t>text Word integral</t>
        </is>
      </c>
      <c r="H109" s="2" t="inlineStr"/>
    </row>
    <row r="110">
      <c r="A110" s="2" t="inlineStr">
        <is>
          <t>\\192.168.100.169\Comun\00. Proiecte 2026 - SCRIEM</t>
        </is>
      </c>
      <c r="B110" s="2" t="inlineStr">
        <is>
          <t>\\192.168.100.169\Comun\00. Proiecte 2026 - SCRIEM\2026.09.30 Acțiunea 2.1 POCIDIF\P1. Dancorproiect SRL\4. Dosar depunere\0. Arhiva DANCOR (beneficiar schimbat 16.07.2026)\Fisa de proiect TRL6-TRL9 (roadmap si conformitate CE) - CUI 12445967.docx</t>
        </is>
      </c>
      <c r="C110" s="2" t="inlineStr">
        <is>
          <t>Fisa de proiect TRL6-TRL9 (roadmap si conformitate CE) - CUI 12445967.docx</t>
        </is>
      </c>
      <c r="D110" s="2" t="inlineStr">
        <is>
          <t>.docx</t>
        </is>
      </c>
      <c r="E110" s="2" t="n">
        <v>29337</v>
      </c>
      <c r="F110" s="2" t="inlineStr">
        <is>
          <t>2026-07-16T15:28:49</t>
        </is>
      </c>
      <c r="G110" s="2" t="inlineStr">
        <is>
          <t>text Word integral</t>
        </is>
      </c>
      <c r="H110" s="2" t="inlineStr">
        <is>
          <t>000 € / 42.000 €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
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Relevanță pentru EV</t>
        </is>
      </c>
    </row>
    <row r="111">
      <c r="A111" s="2" t="inlineStr">
        <is>
          <t>\\192.168.100.169\Comun\00. Proiecte 2026 - SCRIEM</t>
        </is>
      </c>
      <c r="B111" s="2" t="inlineStr">
        <is>
          <t>\\192.168.100.169\Comun\00. Proiecte 2026 - SCRIEM\2026.09.30 Acțiunea 2.1 POCIDIF\P1. Dancorproiect SRL\4. Dosar depunere\0. Arhiva DANCOR (beneficiar schimbat 16.07.2026)\LOI - INDUNOVA ROBOTICS SRL (16.07.2026) - CUI 12445967.docx</t>
        </is>
      </c>
      <c r="C111" s="2" t="inlineStr">
        <is>
          <t>LOI - INDUNOVA ROBOTICS SRL (16.07.2026) - CUI 12445967.docx</t>
        </is>
      </c>
      <c r="D111" s="2" t="inlineStr">
        <is>
          <t>.docx</t>
        </is>
      </c>
      <c r="E111" s="2" t="n">
        <v>11734</v>
      </c>
      <c r="F111" s="2" t="inlineStr">
        <is>
          <t>2026-07-16T14:29:34</t>
        </is>
      </c>
      <c r="G111" s="2" t="inlineStr">
        <is>
          <t>text Word integral</t>
        </is>
      </c>
      <c r="H111" s="2" t="inlineStr"/>
    </row>
    <row r="112">
      <c r="A112" s="2" t="inlineStr">
        <is>
          <t>\\192.168.100.169\Comun\00. Proiecte 2026 - SCRIEM</t>
        </is>
      </c>
      <c r="B112" s="2" t="inlineStr">
        <is>
          <t>\\192.168.100.169\Comun\00. Proiecte 2026 - SCRIEM\2026.09.30 Acțiunea 2.1 POCIDIF\P1. Dancorproiect SRL\4. Dosar depunere\0. Arhiva DANCOR (beneficiar schimbat 16.07.2026)\LOI - INFOGRUP SRL (16.07.2026) - CUI 12445967.docx</t>
        </is>
      </c>
      <c r="C112" s="2" t="inlineStr">
        <is>
          <t>LOI - INFOGRUP SRL (16.07.2026) - CUI 12445967.docx</t>
        </is>
      </c>
      <c r="D112" s="2" t="inlineStr">
        <is>
          <t>.docx</t>
        </is>
      </c>
      <c r="E112" s="2" t="n">
        <v>11755</v>
      </c>
      <c r="F112" s="2" t="inlineStr">
        <is>
          <t>2026-07-16T14:29:34</t>
        </is>
      </c>
      <c r="G112" s="2" t="inlineStr">
        <is>
          <t>text Word integral</t>
        </is>
      </c>
      <c r="H112" s="2" t="inlineStr"/>
    </row>
    <row r="113">
      <c r="A113" s="2" t="inlineStr">
        <is>
          <t>\\192.168.100.169\Comun\00. Proiecte 2026 - SCRIEM</t>
        </is>
      </c>
      <c r="B113" s="2" t="inlineStr">
        <is>
          <t>\\192.168.100.169\Comun\00. Proiecte 2026 - SCRIEM\2026.09.30 Acțiunea 2.1 POCIDIF\P1. Dancorproiect SRL\4. Dosar depunere\0. Arhiva DANCOR (beneficiar schimbat 16.07.2026)\LOI - IPEC SA (08.06.2026) - CUI 12445967.docx</t>
        </is>
      </c>
      <c r="C113" s="2" t="inlineStr">
        <is>
          <t>LOI - IPEC SA (08.06.2026) - CUI 12445967.docx</t>
        </is>
      </c>
      <c r="D113" s="2" t="inlineStr">
        <is>
          <t>.docx</t>
        </is>
      </c>
      <c r="E113" s="2" t="n">
        <v>11429</v>
      </c>
      <c r="F113" s="2" t="inlineStr">
        <is>
          <t>2026-07-13T15:45:58</t>
        </is>
      </c>
      <c r="G113" s="2" t="inlineStr">
        <is>
          <t>text Word integral</t>
        </is>
      </c>
      <c r="H113" s="2" t="inlineStr"/>
    </row>
    <row r="114">
      <c r="A114" s="2" t="inlineStr">
        <is>
          <t>\\192.168.100.169\Comun\00. Proiecte 2026 - SCRIEM</t>
        </is>
      </c>
      <c r="B114" s="2" t="inlineStr">
        <is>
          <t>\\192.168.100.169\Comun\00. Proiecte 2026 - SCRIEM\2026.09.30 Acțiunea 2.1 POCIDIF\P1. Dancorproiect SRL\4. Dosar depunere\0. Arhiva DANCOR (beneficiar schimbat 16.07.2026)\Memoriu tehnic si de inovare - CUI 12445967.docx</t>
        </is>
      </c>
      <c r="C114" s="2" t="inlineStr">
        <is>
          <t>Memoriu tehnic si de inovare - CUI 12445967.docx</t>
        </is>
      </c>
      <c r="D114" s="2" t="inlineStr">
        <is>
          <t>.docx</t>
        </is>
      </c>
      <c r="E114" s="2" t="n">
        <v>20699</v>
      </c>
      <c r="F114" s="2" t="inlineStr">
        <is>
          <t>2026-07-16T15:28:49</t>
        </is>
      </c>
      <c r="G114" s="2" t="inlineStr">
        <is>
          <t>text Word integral</t>
        </is>
      </c>
      <c r="H114" s="2" t="inlineStr"/>
    </row>
    <row r="115">
      <c r="A115" s="2" t="inlineStr">
        <is>
          <t>\\192.168.100.169\Comun\00. Proiecte 2026 - SCRIEM</t>
        </is>
      </c>
      <c r="B115" s="2" t="inlineStr">
        <is>
          <t>\\192.168.100.169\Comun\00. Proiecte 2026 - SCRIEM\2026.09.30 Acțiunea 2.1 POCIDIF\P1. Dancorproiect SRL\4. Dosar depunere\0. Arhiva DANCOR (beneficiar schimbat 16.07.2026)\Protocol pilot - IPEC SA (08.06.2026) - CUI 12445967.docx</t>
        </is>
      </c>
      <c r="C115" s="2" t="inlineStr">
        <is>
          <t>Protocol pilot - IPEC SA (08.06.2026) - CUI 12445967.docx</t>
        </is>
      </c>
      <c r="D115" s="2" t="inlineStr">
        <is>
          <t>.docx</t>
        </is>
      </c>
      <c r="E115" s="2" t="n">
        <v>12071</v>
      </c>
      <c r="F115" s="2" t="inlineStr">
        <is>
          <t>2026-07-13T15:45:58</t>
        </is>
      </c>
      <c r="G115" s="2" t="inlineStr">
        <is>
          <t>text Word integral</t>
        </is>
      </c>
      <c r="H115" s="2" t="inlineStr"/>
    </row>
    <row r="116">
      <c r="A116" s="2" t="inlineStr">
        <is>
          <t>\\192.168.100.169\Comun\00. Proiecte 2026 - SCRIEM</t>
        </is>
      </c>
      <c r="B116" s="2" t="inlineStr">
        <is>
          <t>\\192.168.100.169\Comun\00. Proiecte 2026 - SCRIEM\2026.09.30 Acțiunea 2.1 POCIDIF\P1. Dancorproiect SRL\4. Dosar depunere\0. Arhiva DANCOR (beneficiar schimbat 16.07.2026)\Registru intrebari deschise si riscuri - CUI 12445967.docx</t>
        </is>
      </c>
      <c r="C116" s="2" t="inlineStr">
        <is>
          <t>Registru intrebari deschise si riscuri - CUI 12445967.docx</t>
        </is>
      </c>
      <c r="D116" s="2" t="inlineStr">
        <is>
          <t>.docx</t>
        </is>
      </c>
      <c r="E116" s="2" t="n">
        <v>16923</v>
      </c>
      <c r="F116" s="2" t="inlineStr">
        <is>
          <t>2026-07-16T14:07:31</t>
        </is>
      </c>
      <c r="G116" s="2" t="inlineStr">
        <is>
          <t>text Word integral</t>
        </is>
      </c>
      <c r="H116" s="2" t="inlineStr"/>
    </row>
    <row r="117">
      <c r="A117" s="2" t="inlineStr">
        <is>
          <t>\\192.168.100.169\Comun\00. Proiecte 2026 - SCRIEM</t>
        </is>
      </c>
      <c r="B117" s="2" t="inlineStr">
        <is>
          <t>\\192.168.100.169\Comun\00. Proiecte 2026 - SCRIEM\2026.09.30 Acțiunea 2.1 POCIDIF\P1. Dancorproiect SRL\4. Dosar depunere\Plan de afaceri\00 - CUPRINS plan de afaceri (structura completa) - CUI 47344051.docx</t>
        </is>
      </c>
      <c r="C117" s="2" t="inlineStr">
        <is>
          <t>00 - CUPRINS plan de afaceri (structura completa) - CUI 47344051.docx</t>
        </is>
      </c>
      <c r="D117" s="2" t="inlineStr">
        <is>
          <t>.docx</t>
        </is>
      </c>
      <c r="E117" s="2" t="n">
        <v>14949</v>
      </c>
      <c r="F117" s="2" t="inlineStr">
        <is>
          <t>2026-07-30T16:42:19</t>
        </is>
      </c>
      <c r="G117" s="2" t="inlineStr">
        <is>
          <t>text Word integral</t>
        </is>
      </c>
      <c r="H117" s="2" t="inlineStr"/>
    </row>
    <row r="118">
      <c r="A118" s="2" t="inlineStr">
        <is>
          <t>\\192.168.100.169\Comun\00. Proiecte 2026 - SCRIEM</t>
        </is>
      </c>
      <c r="B118" s="2" t="inlineStr">
        <is>
          <t>\\192.168.100.169\Comun\00. Proiecte 2026 - SCRIEM\2026.09.30 Acțiunea 2.1 POCIDIF\P1. Dancorproiect SRL\4. Dosar depunere\Plan de afaceri\01 - Intrebari clarificare Partea I (A-B) - de completat - CUI 47344051.docx</t>
        </is>
      </c>
      <c r="C118" s="2" t="inlineStr">
        <is>
          <t>01 - Intrebari clarificare Partea I (A-B) - de completat - CUI 47344051.docx</t>
        </is>
      </c>
      <c r="D118" s="2" t="inlineStr">
        <is>
          <t>.docx</t>
        </is>
      </c>
      <c r="E118" s="2" t="n">
        <v>16480</v>
      </c>
      <c r="F118" s="2" t="inlineStr">
        <is>
          <t>2026-07-30T16:47:21</t>
        </is>
      </c>
      <c r="G118" s="2" t="inlineStr">
        <is>
          <t>text Word integral</t>
        </is>
      </c>
      <c r="H118" s="2" t="inlineStr"/>
    </row>
    <row r="119">
      <c r="A119" s="2" t="inlineStr">
        <is>
          <t>\\192.168.100.169\Comun\00. Proiecte 2026 - SCRIEM</t>
        </is>
      </c>
      <c r="B119" s="2" t="inlineStr">
        <is>
          <t>\\192.168.100.169\Comun\00. Proiecte 2026 - SCRIEM\2026.09.30 Acțiunea 2.1 POCIDIF\P1. Dancorproiect SRL\4. Dosar depunere\Plan de afaceri\0. Arhiva DANCOR\00 - CUPRINS plan de afaceri (structura completa) - CUI 12445967.docx</t>
        </is>
      </c>
      <c r="C119" s="2" t="inlineStr">
        <is>
          <t>00 - CUPRINS plan de afaceri (structura completa) - CUI 12445967.docx</t>
        </is>
      </c>
      <c r="D119" s="2" t="inlineStr">
        <is>
          <t>.docx</t>
        </is>
      </c>
      <c r="E119" s="2" t="n">
        <v>16601</v>
      </c>
      <c r="F119" s="2" t="inlineStr">
        <is>
          <t>2026-07-30T16:29:03</t>
        </is>
      </c>
      <c r="G119" s="2" t="inlineStr">
        <is>
          <t>text Word integral</t>
        </is>
      </c>
      <c r="H119" s="2" t="inlineStr"/>
    </row>
    <row r="120">
      <c r="A120" s="2" t="inlineStr">
        <is>
          <t>\\192.168.100.169\Comun\00. Proiecte 2026 - SCRIEM</t>
        </is>
      </c>
      <c r="B120" s="2" t="inlineStr">
        <is>
          <t>\\192.168.100.169\Comun\00. Proiecte 2026 - SCRIEM\2026.09.30 Acțiunea 2.1 POCIDIF\P1. Dancorproiect SRL\4. Dosar depunere (de completat)\00 - Intrebari deschise (de raspuns) v2.docx</t>
        </is>
      </c>
      <c r="C120" s="2" t="inlineStr">
        <is>
          <t>00 - Intrebari deschise (de raspuns) v2.docx</t>
        </is>
      </c>
      <c r="D120" s="2" t="inlineStr">
        <is>
          <t>.docx</t>
        </is>
      </c>
      <c r="E120" s="2" t="n">
        <v>16923</v>
      </c>
      <c r="F120" s="2" t="inlineStr">
        <is>
          <t>2026-07-16T14:07:31</t>
        </is>
      </c>
      <c r="G120" s="2" t="inlineStr">
        <is>
          <t>text Word integral</t>
        </is>
      </c>
      <c r="H120" s="2" t="inlineStr"/>
    </row>
    <row r="121">
      <c r="A121" s="2" t="inlineStr">
        <is>
          <t>\\192.168.100.169\Comun\00. Proiecte 2026 - SCRIEM</t>
        </is>
      </c>
      <c r="B121" s="2" t="inlineStr">
        <is>
          <t>\\192.168.100.169\Comun\00. Proiecte 2026 - SCRIEM\2026.09.30 Acțiunea 2.1 POCIDIF\P1. Dancorproiect SRL\4. Dosar depunere (de completat)\01 - Checklist si registru depunere.xlsx</t>
        </is>
      </c>
      <c r="C121" s="2" t="inlineStr">
        <is>
          <t>01 - Checklist si registru depunere.xlsx</t>
        </is>
      </c>
      <c r="D121" s="2" t="inlineStr">
        <is>
          <t>.xlsx</t>
        </is>
      </c>
      <c r="E121" s="2" t="n">
        <v>8470</v>
      </c>
      <c r="F121" s="2" t="inlineStr">
        <is>
          <t>2026-07-08T20:11:35</t>
        </is>
      </c>
      <c r="G121" s="2" t="inlineStr">
        <is>
          <t>valori Excel; fără obiecte încorporate</t>
        </is>
      </c>
      <c r="H121" s="2" t="inlineStr"/>
    </row>
    <row r="122">
      <c r="A122" s="2" t="inlineStr">
        <is>
          <t>\\192.168.100.169\Comun\00. Proiecte 2026 - SCRIEM</t>
        </is>
      </c>
      <c r="B122" s="2" t="inlineStr">
        <is>
          <t>\\192.168.100.169\Comun\00. Proiecte 2026 - SCRIEM\2026.09.30 Acțiunea 2.1 POCIDIF\P1. Dancorproiect SRL\4. Dosar depunere (de completat)\02 - Cerere de finantare (schelet Anexa 1).docx</t>
        </is>
      </c>
      <c r="C122" s="2" t="inlineStr">
        <is>
          <t>02 - Cerere de finantare (schelet Anexa 1).docx</t>
        </is>
      </c>
      <c r="D122" s="2" t="inlineStr">
        <is>
          <t>.docx</t>
        </is>
      </c>
      <c r="E122" s="2" t="n">
        <v>14122</v>
      </c>
      <c r="F122" s="2" t="inlineStr">
        <is>
          <t>2026-07-16T15:28:01</t>
        </is>
      </c>
      <c r="G122" s="2" t="inlineStr">
        <is>
          <t>text Word integral</t>
        </is>
      </c>
      <c r="H122" s="2" t="inlineStr"/>
    </row>
    <row r="123">
      <c r="A123" s="2" t="inlineStr">
        <is>
          <t>\\192.168.100.169\Comun\00. Proiecte 2026 - SCRIEM</t>
        </is>
      </c>
      <c r="B123" s="2" t="inlineStr">
        <is>
          <t>\\192.168.100.169\Comun\00. Proiecte 2026 - SCRIEM\2026.09.30 Acțiunea 2.1 POCIDIF\P1. Dancorproiect SRL\4. Dosar depunere (de completat)\03 - Plan de afaceri (schelet Anexa 4).docx</t>
        </is>
      </c>
      <c r="C123" s="2" t="inlineStr">
        <is>
          <t>03 - Plan de afaceri (schelet Anexa 4).docx</t>
        </is>
      </c>
      <c r="D123" s="2" t="inlineStr">
        <is>
          <t>.docx</t>
        </is>
      </c>
      <c r="E123" s="2" t="n">
        <v>12608</v>
      </c>
      <c r="F123" s="2" t="inlineStr">
        <is>
          <t>2026-07-16T15:28:01</t>
        </is>
      </c>
      <c r="G123" s="2" t="inlineStr">
        <is>
          <t>text Word integral</t>
        </is>
      </c>
      <c r="H123" s="2" t="inlineStr"/>
    </row>
    <row r="124">
      <c r="A124" s="2" t="inlineStr">
        <is>
          <t>\\192.168.100.169\Comun\00. Proiecte 2026 - SCRIEM</t>
        </is>
      </c>
      <c r="B124" s="2" t="inlineStr">
        <is>
          <t>\\192.168.100.169\Comun\00. Proiecte 2026 - SCRIEM\2026.09.30 Acțiunea 2.1 POCIDIF\P1. Dancorproiect SRL\4. Dosar depunere (de completat)\04 - Anexa 16 corelare + buget defalcat.xlsx</t>
        </is>
      </c>
      <c r="C124" s="2" t="inlineStr">
        <is>
          <t>04 - Anexa 16 corelare + buget defalcat.xlsx</t>
        </is>
      </c>
      <c r="D124" s="2" t="inlineStr">
        <is>
          <t>.xlsx</t>
        </is>
      </c>
      <c r="E124" s="2" t="n">
        <v>7650</v>
      </c>
      <c r="F124" s="2" t="inlineStr">
        <is>
          <t>2026-07-16T15:20:50</t>
        </is>
      </c>
      <c r="G124" s="2" t="inlineStr">
        <is>
          <t>valori Excel; fără obiecte încorporate</t>
        </is>
      </c>
      <c r="H124" s="2" t="inlineStr"/>
    </row>
    <row r="125">
      <c r="A125" s="2" t="inlineStr">
        <is>
          <t>\\192.168.100.169\Comun\00. Proiecte 2026 - SCRIEM</t>
        </is>
      </c>
      <c r="B125" s="2" t="inlineStr">
        <is>
          <t>\\192.168.100.169\Comun\00. Proiecte 2026 - SCRIEM\2026.09.30 Acțiunea 2.1 POCIDIF\P1. Dancorproiect SRL\4. Dosar depunere (de completat)\05 - Template-uri (LOI, pilot, oferte).docx</t>
        </is>
      </c>
      <c r="C125" s="2" t="inlineStr">
        <is>
          <t>05 - Template-uri (LOI, pilot, oferte).docx</t>
        </is>
      </c>
      <c r="D125" s="2" t="inlineStr">
        <is>
          <t>.docx</t>
        </is>
      </c>
      <c r="E125" s="2" t="n">
        <v>12553</v>
      </c>
      <c r="F125" s="2" t="inlineStr">
        <is>
          <t>2026-07-08T20:11:35</t>
        </is>
      </c>
      <c r="G125" s="2" t="inlineStr">
        <is>
          <t>text Word integral</t>
        </is>
      </c>
      <c r="H125" s="2" t="inlineStr"/>
    </row>
    <row r="126">
      <c r="A126" s="2" t="inlineStr">
        <is>
          <t>\\192.168.100.169\Comun\00. Proiecte 2026 - SCRIEM</t>
        </is>
      </c>
      <c r="B126" s="2" t="inlineStr">
        <is>
          <t>\\192.168.100.169\Comun\00. Proiecte 2026 - SCRIEM\2026.09.30 Acțiunea 2.1 POCIDIF\P1. Dancorproiect SRL\4. Dosar depunere (de completat)\06 - Memoriu tehnic si de inovare.docx</t>
        </is>
      </c>
      <c r="C126" s="2" t="inlineStr">
        <is>
          <t>06 - Memoriu tehnic si de inovare.docx</t>
        </is>
      </c>
      <c r="D126" s="2" t="inlineStr">
        <is>
          <t>.docx</t>
        </is>
      </c>
      <c r="E126" s="2" t="n">
        <v>20699</v>
      </c>
      <c r="F126" s="2" t="inlineStr">
        <is>
          <t>2026-07-16T15:28:49</t>
        </is>
      </c>
      <c r="G126" s="2" t="inlineStr">
        <is>
          <t>text Word integral</t>
        </is>
      </c>
      <c r="H126" s="2" t="inlineStr"/>
    </row>
    <row r="127">
      <c r="A127" s="2" t="inlineStr">
        <is>
          <t>\\192.168.100.169\Comun\00. Proiecte 2026 - SCRIEM</t>
        </is>
      </c>
      <c r="B127" s="2" t="inlineStr">
        <is>
          <t>\\192.168.100.169\Comun\00. Proiecte 2026 - SCRIEM\2026.09.30 Acțiunea 2.1 POCIDIF\P1. Dancorproiect SRL\4. Dosar depunere (de completat)\07 - Dotare sectii productie + laborator.xlsx</t>
        </is>
      </c>
      <c r="C127" s="2" t="inlineStr">
        <is>
          <t>07 - Dotare sectii productie + laborator.xlsx</t>
        </is>
      </c>
      <c r="D127" s="2" t="inlineStr">
        <is>
          <t>.xlsx</t>
        </is>
      </c>
      <c r="E127" s="2" t="n">
        <v>13652</v>
      </c>
      <c r="F127" s="2" t="inlineStr">
        <is>
          <t>2026-07-08T20:40:14</t>
        </is>
      </c>
      <c r="G127" s="2" t="inlineStr">
        <is>
          <t>valori Excel; fără obiecte încorporate</t>
        </is>
      </c>
      <c r="H127" s="2" t="inlineStr"/>
    </row>
    <row r="128">
      <c r="A128" s="2" t="inlineStr">
        <is>
          <t>\\192.168.100.169\Comun\00. Proiecte 2026 - SCRIEM</t>
        </is>
      </c>
      <c r="B128" s="2" t="inlineStr">
        <is>
          <t>\\192.168.100.169\Comun\00. Proiecte 2026 - SCRIEM\2026.09.30 Acțiunea 2.1 POCIDIF\P1. Dancorproiect SRL\4. Dosar depunere (de completat)\07a - Varianta A - Precizie maxima si integrare verticala.docx</t>
        </is>
      </c>
      <c r="C128" s="2" t="inlineStr">
        <is>
          <t>07a - Varianta A - Precizie maxima si integrare verticala.docx</t>
        </is>
      </c>
      <c r="D128" s="2" t="inlineStr">
        <is>
          <t>.docx</t>
        </is>
      </c>
      <c r="E128" s="2" t="n">
        <v>23258</v>
      </c>
      <c r="F128" s="2" t="inlineStr">
        <is>
          <t>2026-07-16T15:28:01</t>
        </is>
      </c>
      <c r="G128" s="2" t="inlineStr">
        <is>
          <t>text Word integral</t>
        </is>
      </c>
      <c r="H128" s="2" t="inlineStr"/>
    </row>
    <row r="129">
      <c r="A129" s="2" t="inlineStr">
        <is>
          <t>\\192.168.100.169\Comun\00. Proiecte 2026 - SCRIEM</t>
        </is>
      </c>
      <c r="B129" s="2" t="inlineStr">
        <is>
          <t>\\192.168.100.169\Comun\00. Proiecte 2026 - SCRIEM\2026.09.30 Acțiunea 2.1 POCIDIF\P1. Dancorproiect SRL\4. Dosar depunere (de completat)\07b - Varianta B - Capacitate si multi-material.docx</t>
        </is>
      </c>
      <c r="C129" s="2" t="inlineStr">
        <is>
          <t>07b - Varianta B - Capacitate si multi-material.docx</t>
        </is>
      </c>
      <c r="D129" s="2" t="inlineStr">
        <is>
          <t>.docx</t>
        </is>
      </c>
      <c r="E129" s="2" t="n">
        <v>22399</v>
      </c>
      <c r="F129" s="2" t="inlineStr">
        <is>
          <t>2026-07-16T15:28:01</t>
        </is>
      </c>
      <c r="G129" s="2" t="inlineStr">
        <is>
          <t>text Word integral</t>
        </is>
      </c>
      <c r="H129" s="2" t="inlineStr"/>
    </row>
    <row r="130">
      <c r="A130" s="2" t="inlineStr">
        <is>
          <t>\\192.168.100.169\Comun\00. Proiecte 2026 - SCRIEM</t>
        </is>
      </c>
      <c r="B130" s="2" t="inlineStr">
        <is>
          <t>\\192.168.100.169\Comun\00. Proiecte 2026 - SCRIEM\2026.09.30 Acțiunea 2.1 POCIDIF\P1. Dancorproiect SRL\4. Dosar depunere (de completat)\08 - Nota tehnica dotare.docx</t>
        </is>
      </c>
      <c r="C130" s="2" t="inlineStr">
        <is>
          <t>08 - Nota tehnica dotare.docx</t>
        </is>
      </c>
      <c r="D130" s="2" t="inlineStr">
        <is>
          <t>.docx</t>
        </is>
      </c>
      <c r="E130" s="2" t="n">
        <v>13636</v>
      </c>
      <c r="F130" s="2" t="inlineStr">
        <is>
          <t>2026-07-08T20:40:14</t>
        </is>
      </c>
      <c r="G130" s="2" t="inlineStr">
        <is>
          <t>text Word integral</t>
        </is>
      </c>
      <c r="H130" s="2" t="inlineStr"/>
    </row>
    <row r="131">
      <c r="A131" s="2" t="inlineStr">
        <is>
          <t>\\192.168.100.169\Comun\00. Proiecte 2026 - SCRIEM</t>
        </is>
      </c>
      <c r="B131" s="2" t="inlineStr">
        <is>
          <t>\\192.168.100.169\Comun\00. Proiecte 2026 - SCRIEM\2026.09.30 Acțiunea 2.1 POCIDIF\P1. Dancorproiect SRL\4. Dosar depunere (de completat)\09 - Roadmap post-TRL6 (durabilitate si scalare).docx</t>
        </is>
      </c>
      <c r="C131" s="2" t="inlineStr">
        <is>
          <t>09 - Roadmap post-TRL6 (durabilitate si scalare).docx</t>
        </is>
      </c>
      <c r="D131" s="2" t="inlineStr">
        <is>
          <t>.docx</t>
        </is>
      </c>
      <c r="E131" s="2" t="n">
        <v>15518</v>
      </c>
      <c r="F131" s="2" t="inlineStr">
        <is>
          <t>2026-07-10T20:31:35</t>
        </is>
      </c>
      <c r="G131" s="2" t="inlineStr">
        <is>
          <t>text Word integral</t>
        </is>
      </c>
      <c r="H131" s="2" t="inlineStr"/>
    </row>
    <row r="132">
      <c r="A132" s="2" t="inlineStr">
        <is>
          <t>\\192.168.100.169\Comun\00. Proiecte 2026 - SCRIEM</t>
        </is>
      </c>
      <c r="B132" s="2" t="inlineStr">
        <is>
          <t>\\192.168.100.169\Comun\00. Proiecte 2026 - SCRIEM\2026.09.30 Acțiunea 2.1 POCIDIF\P1. Dancorproiect SRL\4. Dosar depunere (de completat)\10 - Fisa de proiect TRL6 - TRL9 (roadmap complet).docx</t>
        </is>
      </c>
      <c r="C132" s="2" t="inlineStr">
        <is>
          <t>10 - Fisa de proiect TRL6 - TRL9 (roadmap complet).docx</t>
        </is>
      </c>
      <c r="D132" s="2" t="inlineStr">
        <is>
          <t>.docx</t>
        </is>
      </c>
      <c r="E132" s="2" t="n">
        <v>29337</v>
      </c>
      <c r="F132" s="2" t="inlineStr">
        <is>
          <t>2026-07-16T15:28:49</t>
        </is>
      </c>
      <c r="G132" s="2" t="inlineStr">
        <is>
          <t>text Word integral</t>
        </is>
      </c>
      <c r="H132" s="2" t="inlineStr">
        <is>
          <t>000 € / 42.000 €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
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Relevanță pentru EV</t>
        </is>
      </c>
    </row>
    <row r="133">
      <c r="A133" s="2" t="inlineStr">
        <is>
          <t>\\192.168.100.169\Comun\00. Proiecte 2026 - SCRIEM</t>
        </is>
      </c>
      <c r="B133" s="2" t="inlineStr">
        <is>
          <t>\\192.168.100.169\Comun\00. Proiecte 2026 - SCRIEM\2026.09.30 Acțiunea 2.1 POCIDIF\P1. Dancorproiect SRL\4. Dosar depunere (de completat)\11 - Dosar evidenta TRL1-TRL6 (dovada punctului de plecare).docx</t>
        </is>
      </c>
      <c r="C133" s="2" t="inlineStr">
        <is>
          <t>11 - Dosar evidenta TRL1-TRL6 (dovada punctului de plecare).docx</t>
        </is>
      </c>
      <c r="D133" s="2" t="inlineStr">
        <is>
          <t>.docx</t>
        </is>
      </c>
      <c r="E133" s="2" t="n">
        <v>25518</v>
      </c>
      <c r="F133" s="2" t="inlineStr">
        <is>
          <t>2026-07-16T15:26:15</t>
        </is>
      </c>
      <c r="G133" s="2" t="inlineStr">
        <is>
          <t>text Word integral</t>
        </is>
      </c>
      <c r="H133" s="2" t="inlineStr"/>
    </row>
    <row r="134">
      <c r="A134" s="2" t="inlineStr">
        <is>
          <t>\\192.168.100.169\Comun\00. Proiecte 2026 - SCRIEM</t>
        </is>
      </c>
      <c r="B134" s="2" t="inlineStr">
        <is>
          <t>\\192.168.100.169\Comun\00. Proiecte 2026 - SCRIEM\2026.09.30 Acțiunea 2.1 POCIDIF\P1. Dancorproiect SRL\4. Dosar depunere (de completat)\0. Arhiva\00 - Intrebari deschise (v1 08.07.2026).docx</t>
        </is>
      </c>
      <c r="C134" s="2" t="inlineStr">
        <is>
          <t>00 - Intrebari deschise (v1 08.07.2026).docx</t>
        </is>
      </c>
      <c r="D134" s="2" t="inlineStr">
        <is>
          <t>.docx</t>
        </is>
      </c>
      <c r="E134" s="2" t="n">
        <v>13953</v>
      </c>
      <c r="F134" s="2" t="inlineStr">
        <is>
          <t>2026-07-16T14:07:31</t>
        </is>
      </c>
      <c r="G134" s="2" t="inlineStr">
        <is>
          <t>text Word integral</t>
        </is>
      </c>
      <c r="H134" s="2" t="inlineStr"/>
    </row>
    <row r="135">
      <c r="A135" s="2" t="inlineStr">
        <is>
          <t>\\192.168.100.169\Comun\00. Proiecte 2026 - SCRIEM</t>
        </is>
      </c>
      <c r="B135" s="2" t="inlineStr">
        <is>
          <t>\\192.168.100.169\Comun\00. Proiecte 2026 - SCRIEM\2026.09.30 Acțiunea 2.1 POCIDIF\P1. Dancorproiect SRL\4. Dosar depunere (de completat)\0. Arhiva\02 - Cerere (v 1050857, TRL4-6).docx</t>
        </is>
      </c>
      <c r="C135" s="2" t="inlineStr">
        <is>
          <t>02 - Cerere (v 1050857, TRL4-6).docx</t>
        </is>
      </c>
      <c r="D135" s="2" t="inlineStr">
        <is>
          <t>.docx</t>
        </is>
      </c>
      <c r="E135" s="2" t="n">
        <v>14059</v>
      </c>
      <c r="F135" s="2" t="inlineStr">
        <is>
          <t>2026-07-16T15:19:36</t>
        </is>
      </c>
      <c r="G135" s="2" t="inlineStr">
        <is>
          <t>text Word integral</t>
        </is>
      </c>
      <c r="H135" s="2" t="inlineStr"/>
    </row>
    <row r="136">
      <c r="A136" s="2" t="inlineStr">
        <is>
          <t>\\192.168.100.169\Comun\00. Proiecte 2026 - SCRIEM</t>
        </is>
      </c>
      <c r="B136" s="2" t="inlineStr">
        <is>
          <t>\\192.168.100.169\Comun\00. Proiecte 2026 - SCRIEM\2026.09.30 Acțiunea 2.1 POCIDIF\P1. Dancorproiect SRL\4. Dosar depunere (de completat)\0. Arhiva\02 - Cerere (v 942857).docx</t>
        </is>
      </c>
      <c r="C136" s="2" t="inlineStr">
        <is>
          <t>02 - Cerere (v 942857).docx</t>
        </is>
      </c>
      <c r="D136" s="2" t="inlineStr">
        <is>
          <t>.docx</t>
        </is>
      </c>
      <c r="E136" s="2" t="n">
        <v>14053</v>
      </c>
      <c r="F136" s="2" t="inlineStr">
        <is>
          <t>2026-07-14T14:33:22</t>
        </is>
      </c>
      <c r="G136" s="2" t="inlineStr">
        <is>
          <t>text Word integral</t>
        </is>
      </c>
      <c r="H136" s="2" t="inlineStr"/>
    </row>
    <row r="137">
      <c r="A137" s="2" t="inlineStr">
        <is>
          <t>\\192.168.100.169\Comun\00. Proiecte 2026 - SCRIEM</t>
        </is>
      </c>
      <c r="B137" s="2" t="inlineStr">
        <is>
          <t>\\192.168.100.169\Comun\00. Proiecte 2026 - SCRIEM\2026.09.30 Acțiunea 2.1 POCIDIF\P1. Dancorproiect SRL\4. Dosar depunere (de completat)\0. Arhiva\02 - Cerere de finantare (schelet Anexa 1).docx</t>
        </is>
      </c>
      <c r="C137" s="2" t="inlineStr">
        <is>
          <t>02 - Cerere de finantare (schelet Anexa 1).docx</t>
        </is>
      </c>
      <c r="D137" s="2" t="inlineStr">
        <is>
          <t>.docx</t>
        </is>
      </c>
      <c r="E137" s="2" t="n">
        <v>13828</v>
      </c>
      <c r="F137" s="2" t="inlineStr">
        <is>
          <t>2026-07-13T15:37:48</t>
        </is>
      </c>
      <c r="G137" s="2" t="inlineStr">
        <is>
          <t>text Word integral</t>
        </is>
      </c>
      <c r="H137" s="2" t="inlineStr"/>
    </row>
    <row r="138">
      <c r="A138" s="2" t="inlineStr">
        <is>
          <t>\\192.168.100.169\Comun\00. Proiecte 2026 - SCRIEM</t>
        </is>
      </c>
      <c r="B138" s="2" t="inlineStr">
        <is>
          <t>\\192.168.100.169\Comun\00. Proiecte 2026 - SCRIEM\2026.09.30 Acțiunea 2.1 POCIDIF\P1. Dancorproiect SRL\4. Dosar depunere (de completat)\0. Arhiva\03 - Plan afaceri (v 1050857, TRL4-6).docx</t>
        </is>
      </c>
      <c r="C138" s="2" t="inlineStr">
        <is>
          <t>03 - Plan afaceri (v 1050857, TRL4-6).docx</t>
        </is>
      </c>
      <c r="D138" s="2" t="inlineStr">
        <is>
          <t>.docx</t>
        </is>
      </c>
      <c r="E138" s="2" t="n">
        <v>12608</v>
      </c>
      <c r="F138" s="2" t="inlineStr">
        <is>
          <t>2026-07-16T15:19:36</t>
        </is>
      </c>
      <c r="G138" s="2" t="inlineStr">
        <is>
          <t>text Word integral</t>
        </is>
      </c>
      <c r="H138" s="2" t="inlineStr"/>
    </row>
    <row r="139">
      <c r="A139" s="2" t="inlineStr">
        <is>
          <t>\\192.168.100.169\Comun\00. Proiecte 2026 - SCRIEM</t>
        </is>
      </c>
      <c r="B139" s="2" t="inlineStr">
        <is>
          <t>\\192.168.100.169\Comun\00. Proiecte 2026 - SCRIEM\2026.09.30 Acțiunea 2.1 POCIDIF\P1. Dancorproiect SRL\4. Dosar depunere (de completat)\0. Arhiva\03 - Plan afaceri (v 942857).docx</t>
        </is>
      </c>
      <c r="C139" s="2" t="inlineStr">
        <is>
          <t>03 - Plan afaceri (v 942857).docx</t>
        </is>
      </c>
      <c r="D139" s="2" t="inlineStr">
        <is>
          <t>.docx</t>
        </is>
      </c>
      <c r="E139" s="2" t="n">
        <v>12604</v>
      </c>
      <c r="F139" s="2" t="inlineStr">
        <is>
          <t>2026-07-14T14:33:23</t>
        </is>
      </c>
      <c r="G139" s="2" t="inlineStr">
        <is>
          <t>text Word integral</t>
        </is>
      </c>
      <c r="H139" s="2" t="inlineStr"/>
    </row>
    <row r="140">
      <c r="A140" s="2" t="inlineStr">
        <is>
          <t>\\192.168.100.169\Comun\00. Proiecte 2026 - SCRIEM</t>
        </is>
      </c>
      <c r="B140" s="2" t="inlineStr">
        <is>
          <t>\\192.168.100.169\Comun\00. Proiecte 2026 - SCRIEM\2026.09.30 Acțiunea 2.1 POCIDIF\P1. Dancorproiect SRL\4. Dosar depunere (de completat)\0. Arhiva\03 - Plan de afaceri (schelet Anexa 4).docx</t>
        </is>
      </c>
      <c r="C140" s="2" t="inlineStr">
        <is>
          <t>03 - Plan de afaceri (schelet Anexa 4).docx</t>
        </is>
      </c>
      <c r="D140" s="2" t="inlineStr">
        <is>
          <t>.docx</t>
        </is>
      </c>
      <c r="E140" s="2" t="n">
        <v>12595</v>
      </c>
      <c r="F140" s="2" t="inlineStr">
        <is>
          <t>2026-07-13T15:37:48</t>
        </is>
      </c>
      <c r="G140" s="2" t="inlineStr">
        <is>
          <t>text Word integral</t>
        </is>
      </c>
      <c r="H140" s="2" t="inlineStr"/>
    </row>
    <row r="141">
      <c r="A141" s="2" t="inlineStr">
        <is>
          <t>\\192.168.100.169\Comun\00. Proiecte 2026 - SCRIEM</t>
        </is>
      </c>
      <c r="B141" s="2" t="inlineStr">
        <is>
          <t>\\192.168.100.169\Comun\00. Proiecte 2026 - SCRIEM\2026.09.30 Acțiunea 2.1 POCIDIF\P1. Dancorproiect SRL\4. Dosar depunere (de completat)\0. Arhiva\04 - Anexa 16 (v 1050857 fara teste).xlsx</t>
        </is>
      </c>
      <c r="C141" s="2" t="inlineStr">
        <is>
          <t>04 - Anexa 16 (v 1050857 fara teste).xlsx</t>
        </is>
      </c>
      <c r="D141" s="2" t="inlineStr">
        <is>
          <t>.xlsx</t>
        </is>
      </c>
      <c r="E141" s="2" t="n">
        <v>7377</v>
      </c>
      <c r="F141" s="2" t="inlineStr">
        <is>
          <t>2026-07-16T15:19:36</t>
        </is>
      </c>
      <c r="G141" s="2" t="inlineStr">
        <is>
          <t>valori Excel; fără obiecte încorporate</t>
        </is>
      </c>
      <c r="H141" s="2" t="inlineStr"/>
    </row>
    <row r="142">
      <c r="A142" s="2" t="inlineStr">
        <is>
          <t>\\192.168.100.169\Comun\00. Proiecte 2026 - SCRIEM</t>
        </is>
      </c>
      <c r="B142" s="2" t="inlineStr">
        <is>
          <t>\\192.168.100.169\Comun\00. Proiecte 2026 - SCRIEM\2026.09.30 Acțiunea 2.1 POCIDIF\P1. Dancorproiect SRL\4. Dosar depunere (de completat)\0. Arhiva\04 - Anexa 16 (v 942857).xlsx</t>
        </is>
      </c>
      <c r="C142" s="2" t="inlineStr">
        <is>
          <t>04 - Anexa 16 (v 942857).xlsx</t>
        </is>
      </c>
      <c r="D142" s="2" t="inlineStr">
        <is>
          <t>.xlsx</t>
        </is>
      </c>
      <c r="E142" s="2" t="n">
        <v>7868</v>
      </c>
      <c r="F142" s="2" t="inlineStr">
        <is>
          <t>2026-07-14T14:33:22</t>
        </is>
      </c>
      <c r="G142" s="2" t="inlineStr">
        <is>
          <t>valori Excel; fără obiecte încorporate</t>
        </is>
      </c>
      <c r="H142" s="2" t="inlineStr"/>
    </row>
    <row r="143">
      <c r="A143" s="2" t="inlineStr">
        <is>
          <t>\\192.168.100.169\Comun\00. Proiecte 2026 - SCRIEM</t>
        </is>
      </c>
      <c r="B143" s="2" t="inlineStr">
        <is>
          <t>\\192.168.100.169\Comun\00. Proiecte 2026 - SCRIEM\2026.09.30 Acțiunea 2.1 POCIDIF\P1. Dancorproiect SRL\4. Dosar depunere (de completat)\0. Arhiva\04 - Anexa 16 corelare + buget defalcat.xlsx</t>
        </is>
      </c>
      <c r="C143" s="2" t="inlineStr">
        <is>
          <t>04 - Anexa 16 corelare + buget defalcat.xlsx</t>
        </is>
      </c>
      <c r="D143" s="2" t="inlineStr">
        <is>
          <t>.xlsx</t>
        </is>
      </c>
      <c r="E143" s="2" t="n">
        <v>8138</v>
      </c>
      <c r="F143" s="2" t="inlineStr">
        <is>
          <t>2026-07-13T15:37:48</t>
        </is>
      </c>
      <c r="G143" s="2" t="inlineStr">
        <is>
          <t>valori Excel; fără obiecte încorporate</t>
        </is>
      </c>
      <c r="H143" s="2" t="inlineStr"/>
    </row>
    <row r="144">
      <c r="A144" s="2" t="inlineStr">
        <is>
          <t>\\192.168.100.169\Comun\00. Proiecte 2026 - SCRIEM</t>
        </is>
      </c>
      <c r="B144" s="2" t="inlineStr">
        <is>
          <t>\\192.168.100.169\Comun\00. Proiecte 2026 - SCRIEM\2026.09.30 Acțiunea 2.1 POCIDIF\P1. Dancorproiect SRL\4. Dosar depunere (de completat)\0. Arhiva\06 - Memoriu (v 942857).docx</t>
        </is>
      </c>
      <c r="C144" s="2" t="inlineStr">
        <is>
          <t>06 - Memoriu (v 942857).docx</t>
        </is>
      </c>
      <c r="D144" s="2" t="inlineStr">
        <is>
          <t>.docx</t>
        </is>
      </c>
      <c r="E144" s="2" t="n">
        <v>20699</v>
      </c>
      <c r="F144" s="2" t="inlineStr">
        <is>
          <t>2026-07-14T14:33:23</t>
        </is>
      </c>
      <c r="G144" s="2" t="inlineStr">
        <is>
          <t>text Word integral</t>
        </is>
      </c>
      <c r="H144" s="2" t="inlineStr"/>
    </row>
    <row r="145">
      <c r="A145" s="2" t="inlineStr">
        <is>
          <t>\\192.168.100.169\Comun\00. Proiecte 2026 - SCRIEM</t>
        </is>
      </c>
      <c r="B145" s="2" t="inlineStr">
        <is>
          <t>\\192.168.100.169\Comun\00. Proiecte 2026 - SCRIEM\2026.09.30 Acțiunea 2.1 POCIDIF\P1. Dancorproiect SRL\4. Dosar depunere (de completat)\0. Arhiva\06 - Memoriu tehnic si de inovare.docx</t>
        </is>
      </c>
      <c r="C145" s="2" t="inlineStr">
        <is>
          <t>06 - Memoriu tehnic si de inovare.docx</t>
        </is>
      </c>
      <c r="D145" s="2" t="inlineStr">
        <is>
          <t>.docx</t>
        </is>
      </c>
      <c r="E145" s="2" t="n">
        <v>20279</v>
      </c>
      <c r="F145" s="2" t="inlineStr">
        <is>
          <t>2026-07-13T15:37:48</t>
        </is>
      </c>
      <c r="G145" s="2" t="inlineStr">
        <is>
          <t>text Word integral</t>
        </is>
      </c>
      <c r="H145" s="2" t="inlineStr"/>
    </row>
    <row r="146">
      <c r="A146" s="2" t="inlineStr">
        <is>
          <t>\\192.168.100.169\Comun\00. Proiecte 2026 - SCRIEM</t>
        </is>
      </c>
      <c r="B146" s="2" t="inlineStr">
        <is>
          <t>\\192.168.100.169\Comun\00. Proiecte 2026 - SCRIEM\2026.09.30 Acțiunea 2.1 POCIDIF\P1. Dancorproiect SRL\4. Dosar depunere (de completat)\0. Arhiva\07a - Varianta A (v ech 3006857).docx</t>
        </is>
      </c>
      <c r="C146" s="2" t="inlineStr">
        <is>
          <t>07a - Varianta A (v ech 3006857).docx</t>
        </is>
      </c>
      <c r="D146" s="2" t="inlineStr">
        <is>
          <t>.docx</t>
        </is>
      </c>
      <c r="E146" s="2" t="n">
        <v>23149</v>
      </c>
      <c r="F146" s="2" t="inlineStr">
        <is>
          <t>2026-07-16T15:19:36</t>
        </is>
      </c>
      <c r="G146" s="2" t="inlineStr">
        <is>
          <t>text Word integral</t>
        </is>
      </c>
      <c r="H146" s="2" t="inlineStr"/>
    </row>
    <row r="147">
      <c r="A147" s="2" t="inlineStr">
        <is>
          <t>\\192.168.100.169\Comun\00. Proiecte 2026 - SCRIEM</t>
        </is>
      </c>
      <c r="B147" s="2" t="inlineStr">
        <is>
          <t>\\192.168.100.169\Comun\00. Proiecte 2026 - SCRIEM\2026.09.30 Acțiunea 2.1 POCIDIF\P1. Dancorproiect SRL\4. Dosar depunere (de completat)\0. Arhiva\07b - Varianta B (v ech 3006857).docx</t>
        </is>
      </c>
      <c r="C147" s="2" t="inlineStr">
        <is>
          <t>07b - Varianta B (v ech 3006857).docx</t>
        </is>
      </c>
      <c r="D147" s="2" t="inlineStr">
        <is>
          <t>.docx</t>
        </is>
      </c>
      <c r="E147" s="2" t="n">
        <v>22300</v>
      </c>
      <c r="F147" s="2" t="inlineStr">
        <is>
          <t>2026-07-16T15:19:36</t>
        </is>
      </c>
      <c r="G147" s="2" t="inlineStr">
        <is>
          <t>text Word integral</t>
        </is>
      </c>
      <c r="H147" s="2" t="inlineStr"/>
    </row>
    <row r="148">
      <c r="A148" s="2" t="inlineStr">
        <is>
          <t>\\192.168.100.169\Comun\00. Proiecte 2026 - SCRIEM</t>
        </is>
      </c>
      <c r="B148" s="2" t="inlineStr">
        <is>
          <t>\\192.168.100.169\Comun\00. Proiecte 2026 - SCRIEM\2026.09.30 Acțiunea 2.1 POCIDIF\P1. Dancorproiect SRL\4. Dosar depunere (de completat)\0. Arhiva\10 - Fisa TRL6-TRL9 (v 1050857).docx</t>
        </is>
      </c>
      <c r="C148" s="2" t="inlineStr">
        <is>
          <t>10 - Fisa TRL6-TRL9 (v 1050857).docx</t>
        </is>
      </c>
      <c r="D148" s="2" t="inlineStr">
        <is>
          <t>.docx</t>
        </is>
      </c>
      <c r="E148" s="2" t="n">
        <v>28814</v>
      </c>
      <c r="F148" s="2" t="inlineStr">
        <is>
          <t>2026-07-16T15:19:36</t>
        </is>
      </c>
      <c r="G148" s="2" t="inlineStr">
        <is>
          <t>text Word integral</t>
        </is>
      </c>
      <c r="H148" s="2" t="inlineStr">
        <is>
          <t xml:space="preserve"> € / 2.104.800 € A3 Introducere în piață WP8 L18-L24 Minimis 120.000 € / 120.000 € A4 Informare și publicitate WP9 L1-L24 Minimis 30.000 € / 30.000 € A5 Management de proiect WP1 L1-L24 Minimis 90.000 € / 90.000 € A6 Audit tehnic WP10 L22-L24 Minimis 60.000 € / 60.000 €  TOTAL    4.050.857 € / 3.000.000 € Act normativ Relevanț
800 € A3 Introducere în piață WP8 L18-L24 Minimis 120.000 € / 120.000 € A4 Informare și publicitate WP9 L1-L24 Minimis 30.000 € / 30.000 € A5 Management de proiect WP1 L1-L24 Minimis 90.000 € / 90.000 € A6 Audit tehnic WP10 L22-L24 Minimis 60.000 € / 60.000 €  TOTAL    4.050.857 € / 3.000.000 € Act normativ Relevanță pentru EV</t>
        </is>
      </c>
    </row>
    <row r="149">
      <c r="A149" s="2" t="inlineStr">
        <is>
          <t>\\192.168.100.169\Comun\00. Proiecte 2026 - SCRIEM</t>
        </is>
      </c>
      <c r="B149" s="2" t="inlineStr">
        <is>
          <t>\\192.168.100.169\Comun\00. Proiecte 2026 - SCRIEM\2026.09.30 Acțiunea 2.1 POCIDIF\P1. Dancorproiect SRL\5. Locatie implementare (acte proprietate)\DanCorProiect CF75174 AB Decizie.pdf</t>
        </is>
      </c>
      <c r="C149" s="2" t="inlineStr">
        <is>
          <t>DanCorProiect CF75174 AB Decizie.pdf</t>
        </is>
      </c>
      <c r="D149" s="2" t="inlineStr">
        <is>
          <t>.pdf</t>
        </is>
      </c>
      <c r="E149" s="2" t="n">
        <v>4953108</v>
      </c>
      <c r="F149" s="2" t="inlineStr">
        <is>
          <t>2026-07-11T11:29:49</t>
        </is>
      </c>
      <c r="G149" s="2" t="inlineStr">
        <is>
          <t>PDF fără text extractibil; OCR necesar</t>
        </is>
      </c>
      <c r="H149" s="2" t="inlineStr"/>
    </row>
    <row r="150">
      <c r="A150" s="2" t="inlineStr">
        <is>
          <t>\\192.168.100.169\Comun\00. Proiecte 2026 - SCRIEM</t>
        </is>
      </c>
      <c r="B150" s="2" t="inlineStr">
        <is>
          <t>\\192.168.100.169\Comun\00. Proiecte 2026 - SCRIEM\2026.09.30 Acțiunea 2.1 POCIDIF\P1. Dancorproiect SRL\5. Locatie implementare (acte proprietate)\DanCorProiect CF75174 AB.pdf</t>
        </is>
      </c>
      <c r="C150" s="2" t="inlineStr">
        <is>
          <t>DanCorProiect CF75174 AB.pdf</t>
        </is>
      </c>
      <c r="D150" s="2" t="inlineStr">
        <is>
          <t>.pdf</t>
        </is>
      </c>
      <c r="E150" s="2" t="n">
        <v>2775240</v>
      </c>
      <c r="F150" s="2" t="inlineStr">
        <is>
          <t>2026-07-11T11:29:49</t>
        </is>
      </c>
      <c r="G150" s="2" t="inlineStr">
        <is>
          <t>PDF fără text extractibil; OCR necesar</t>
        </is>
      </c>
      <c r="H150" s="2" t="inlineStr"/>
    </row>
    <row r="151">
      <c r="A151" s="2" t="inlineStr">
        <is>
          <t>\\192.168.100.169\Comun\00. Proiecte 2026 - SCRIEM</t>
        </is>
      </c>
      <c r="B151" s="2" t="inlineStr">
        <is>
          <t>\\192.168.100.169\Comun\00. Proiecte 2026 - SCRIEM\2026.09.30 Acțiunea 2.1 POCIDIF\P1. Dancorproiect SRL\5. Locatie implementare (acte proprietate)\Devize pe obiecte - renovare hala.xlsx</t>
        </is>
      </c>
      <c r="C151" s="2" t="inlineStr">
        <is>
          <t>Devize pe obiecte - renovare hala.xlsx</t>
        </is>
      </c>
      <c r="D151" s="2" t="inlineStr">
        <is>
          <t>.xlsx</t>
        </is>
      </c>
      <c r="E151" s="2" t="n">
        <v>26024</v>
      </c>
      <c r="F151" s="2" t="inlineStr">
        <is>
          <t>2026-07-11T12:19:55</t>
        </is>
      </c>
      <c r="G151" s="2" t="inlineStr">
        <is>
          <t>valori Excel; fără obiecte încorporate</t>
        </is>
      </c>
      <c r="H151" s="2" t="inlineStr"/>
    </row>
    <row r="152">
      <c r="A152" s="2" t="inlineStr">
        <is>
          <t>\\192.168.100.169\Comun\00. Proiecte 2026 - SCRIEM</t>
        </is>
      </c>
      <c r="B152" s="2" t="inlineStr">
        <is>
          <t>\\192.168.100.169\Comun\00. Proiecte 2026 - SCRIEM\2026.09.30 Acțiunea 2.1 POCIDIF\P1. Dancorproiect SRL\5. Locatie implementare (acte proprietate)\0. Arhiva\Deviz estimativ lucrari renovare hala.xlsx</t>
        </is>
      </c>
      <c r="C152" s="2" t="inlineStr">
        <is>
          <t>Deviz estimativ lucrari renovare hala.xlsx</t>
        </is>
      </c>
      <c r="D152" s="2" t="inlineStr">
        <is>
          <t>.xlsx</t>
        </is>
      </c>
      <c r="E152" s="2" t="n">
        <v>11437</v>
      </c>
      <c r="F152" s="2" t="inlineStr">
        <is>
          <t>2026-07-11T12:05:44</t>
        </is>
      </c>
      <c r="G152" s="2" t="inlineStr">
        <is>
          <t>valori Excel; fără obiecte încorporate</t>
        </is>
      </c>
      <c r="H152" s="2" t="inlineStr"/>
    </row>
    <row r="153">
      <c r="A153" s="2" t="inlineStr">
        <is>
          <t>\\192.168.100.169\Comun\00. Proiecte 2026 - SCRIEM</t>
        </is>
      </c>
      <c r="B153" s="2" t="inlineStr">
        <is>
          <t>\\192.168.100.169\Comun\00. Proiecte 2026 - SCRIEM\2026.09.30 Acțiunea 2.1 POCIDIF\P1. Dancorproiect SRL\6. LOI si Protocoale pilot\LOI - INDUNOVA ROBOTICS SRL (16.07.2026).docx</t>
        </is>
      </c>
      <c r="C153" s="2" t="inlineStr">
        <is>
          <t>LOI - INDUNOVA ROBOTICS SRL (16.07.2026).docx</t>
        </is>
      </c>
      <c r="D153" s="2" t="inlineStr">
        <is>
          <t>.docx</t>
        </is>
      </c>
      <c r="E153" s="2" t="n">
        <v>11734</v>
      </c>
      <c r="F153" s="2" t="inlineStr">
        <is>
          <t>2026-07-16T14:29:34</t>
        </is>
      </c>
      <c r="G153" s="2" t="inlineStr">
        <is>
          <t>text Word integral</t>
        </is>
      </c>
      <c r="H153" s="2" t="inlineStr"/>
    </row>
    <row r="154">
      <c r="A154" s="2" t="inlineStr">
        <is>
          <t>\\192.168.100.169\Comun\00. Proiecte 2026 - SCRIEM</t>
        </is>
      </c>
      <c r="B154" s="2" t="inlineStr">
        <is>
          <t>\\192.168.100.169\Comun\00. Proiecte 2026 - SCRIEM\2026.09.30 Acțiunea 2.1 POCIDIF\P1. Dancorproiect SRL\6. LOI si Protocoale pilot\LOI - INFOGRUP SRL (16.07.2026).docx</t>
        </is>
      </c>
      <c r="C154" s="2" t="inlineStr">
        <is>
          <t>LOI - INFOGRUP SRL (16.07.2026).docx</t>
        </is>
      </c>
      <c r="D154" s="2" t="inlineStr">
        <is>
          <t>.docx</t>
        </is>
      </c>
      <c r="E154" s="2" t="n">
        <v>11755</v>
      </c>
      <c r="F154" s="2" t="inlineStr">
        <is>
          <t>2026-07-16T14:29:34</t>
        </is>
      </c>
      <c r="G154" s="2" t="inlineStr">
        <is>
          <t>text Word integral</t>
        </is>
      </c>
      <c r="H154" s="2" t="inlineStr"/>
    </row>
    <row r="155">
      <c r="A155" s="2" t="inlineStr">
        <is>
          <t>\\192.168.100.169\Comun\00. Proiecte 2026 - SCRIEM</t>
        </is>
      </c>
      <c r="B155" s="2" t="inlineStr">
        <is>
          <t>\\192.168.100.169\Comun\00. Proiecte 2026 - SCRIEM\2026.09.30 Acțiunea 2.1 POCIDIF\P1. Dancorproiect SRL\6. LOI si Protocoale pilot\LOI - IPEC SA (08.06.2026).docx</t>
        </is>
      </c>
      <c r="C155" s="2" t="inlineStr">
        <is>
          <t>LOI - IPEC SA (08.06.2026).docx</t>
        </is>
      </c>
      <c r="D155" s="2" t="inlineStr">
        <is>
          <t>.docx</t>
        </is>
      </c>
      <c r="E155" s="2" t="n">
        <v>11429</v>
      </c>
      <c r="F155" s="2" t="inlineStr">
        <is>
          <t>2026-07-13T15:45:58</t>
        </is>
      </c>
      <c r="G155" s="2" t="inlineStr">
        <is>
          <t>text Word integral</t>
        </is>
      </c>
      <c r="H155" s="2" t="inlineStr"/>
    </row>
    <row r="156">
      <c r="A156" s="2" t="inlineStr">
        <is>
          <t>\\192.168.100.169\Comun\00. Proiecte 2026 - SCRIEM</t>
        </is>
      </c>
      <c r="B156" s="2" t="inlineStr">
        <is>
          <t>\\192.168.100.169\Comun\00. Proiecte 2026 - SCRIEM\2026.09.30 Acțiunea 2.1 POCIDIF\P1. Dancorproiect SRL\6. LOI si Protocoale pilot\Protocol pilot - IPEC SA (08.06.2026).docx</t>
        </is>
      </c>
      <c r="C156" s="2" t="inlineStr">
        <is>
          <t>Protocol pilot - IPEC SA (08.06.2026).docx</t>
        </is>
      </c>
      <c r="D156" s="2" t="inlineStr">
        <is>
          <t>.docx</t>
        </is>
      </c>
      <c r="E156" s="2" t="n">
        <v>12071</v>
      </c>
      <c r="F156" s="2" t="inlineStr">
        <is>
          <t>2026-07-13T15:45:58</t>
        </is>
      </c>
      <c r="G156" s="2" t="inlineStr">
        <is>
          <t>text Word integral</t>
        </is>
      </c>
      <c r="H156" s="2" t="inlineStr"/>
    </row>
    <row r="157">
      <c r="A157" s="2" t="inlineStr">
        <is>
          <t>\\192.168.100.169\Comun\00. Proiecte 2026 - SCRIEM</t>
        </is>
      </c>
      <c r="B157" s="2" t="inlineStr">
        <is>
          <t>\\192.168.100.169\Comun\00. Proiecte 2026 - SCRIEM\2026.09.30 Acțiunea 2.1 POCIDIF\P1. Dancorproiect SRL\ACTE FIRMA\12445967 Act constitutiv 2026.pdf</t>
        </is>
      </c>
      <c r="C157" s="2" t="inlineStr">
        <is>
          <t>12445967 Act constitutiv 2026.pdf</t>
        </is>
      </c>
      <c r="D157" s="2" t="inlineStr">
        <is>
          <t>.pdf</t>
        </is>
      </c>
      <c r="E157" s="2" t="n">
        <v>2572791</v>
      </c>
      <c r="F157" s="2" t="inlineStr">
        <is>
          <t>2026-07-10T15:44:16</t>
        </is>
      </c>
      <c r="G157" s="2" t="inlineStr">
        <is>
          <t>text PDF integral</t>
        </is>
      </c>
      <c r="H157" s="2" t="inlineStr"/>
    </row>
    <row r="158">
      <c r="A158" s="2" t="inlineStr">
        <is>
          <t>\\192.168.100.169\Comun\00. Proiecte 2026 - SCRIEM</t>
        </is>
      </c>
      <c r="B158" s="2" t="inlineStr">
        <is>
          <t>\\192.168.100.169\Comun\00. Proiecte 2026 - SCRIEM\2026.09.30 Acțiunea 2.1 POCIDIF\P1. Dancorproiect SRL\ACTE FIRMA\12445967 Certificat TVA 002.pdf</t>
        </is>
      </c>
      <c r="C158" s="2" t="inlineStr">
        <is>
          <t>12445967 Certificat TVA 002.pdf</t>
        </is>
      </c>
      <c r="D158" s="2" t="inlineStr">
        <is>
          <t>.pdf</t>
        </is>
      </c>
      <c r="E158" s="2" t="n">
        <v>578550</v>
      </c>
      <c r="F158" s="2" t="inlineStr">
        <is>
          <t>2026-07-10T15:44:22</t>
        </is>
      </c>
      <c r="G158" s="2" t="inlineStr">
        <is>
          <t>PDF fără text extractibil; OCR necesar</t>
        </is>
      </c>
      <c r="H158" s="2" t="inlineStr"/>
    </row>
    <row r="159">
      <c r="A159" s="2" t="inlineStr">
        <is>
          <t>\\192.168.100.169\Comun\00. Proiecte 2026 - SCRIEM</t>
        </is>
      </c>
      <c r="B159" s="2" t="inlineStr">
        <is>
          <t>\\192.168.100.169\Comun\00. Proiecte 2026 - SCRIEM\2026.09.30 Acțiunea 2.1 POCIDIF\P1. Dancorproiect SRL\ACTE FIRMA\CUI-dancorproiect-1.pdf</t>
        </is>
      </c>
      <c r="C159" s="2" t="inlineStr">
        <is>
          <t>CUI-dancorproiect-1.pdf</t>
        </is>
      </c>
      <c r="D159" s="2" t="inlineStr">
        <is>
          <t>.pdf</t>
        </is>
      </c>
      <c r="E159" s="2" t="n">
        <v>359375</v>
      </c>
      <c r="F159" s="2" t="inlineStr">
        <is>
          <t>2023-05-08T11:07:52</t>
        </is>
      </c>
      <c r="G159" s="2" t="inlineStr">
        <is>
          <t>PDF fără text extractibil; OCR necesar</t>
        </is>
      </c>
      <c r="H159" s="2" t="inlineStr"/>
    </row>
    <row r="160">
      <c r="A160" s="2" t="inlineStr">
        <is>
          <t>\\192.168.100.169\Comun\00. Proiecte 2026 - SCRIEM</t>
        </is>
      </c>
      <c r="B160" s="2" t="inlineStr">
        <is>
          <t>\\192.168.100.169\Comun\00. Proiecte 2026 - SCRIEM\2026.09.30 Acțiunea 2.1 POCIDIF\P1. Dancorproiect SRL\Anexe mysmis - de completat\Anexa 11 - Model Declaratie IMM.docx</t>
        </is>
      </c>
      <c r="C160" s="2" t="inlineStr">
        <is>
          <t>Anexa 11 - Model Declaratie IMM.docx</t>
        </is>
      </c>
      <c r="D160" s="2" t="inlineStr">
        <is>
          <t>.docx</t>
        </is>
      </c>
      <c r="E160" s="2" t="n">
        <v>36835</v>
      </c>
      <c r="F160" s="2" t="inlineStr">
        <is>
          <t>2026-07-16T13:54:17</t>
        </is>
      </c>
      <c r="G160" s="2" t="inlineStr">
        <is>
          <t>text Word integral</t>
        </is>
      </c>
      <c r="H160" s="2" t="inlineStr"/>
    </row>
    <row r="161">
      <c r="A161" s="2" t="inlineStr">
        <is>
          <t>\\192.168.100.169\Comun\00. Proiecte 2026 - SCRIEM</t>
        </is>
      </c>
      <c r="B161" s="2" t="inlineStr">
        <is>
          <t>\\192.168.100.169\Comun\00. Proiecte 2026 - SCRIEM\2026.09.30 Acțiunea 2.1 POCIDIF\P1. Dancorproiect SRL\Anexe mysmis - de completat\Anexa 12 - Model contract de finantare si conditii specifice.docx</t>
        </is>
      </c>
      <c r="C161" s="2" t="inlineStr">
        <is>
          <t>Anexa 12 - Model contract de finantare si conditii specifice.docx</t>
        </is>
      </c>
      <c r="D161" s="2" t="inlineStr">
        <is>
          <t>.docx</t>
        </is>
      </c>
      <c r="E161" s="2" t="n">
        <v>105646</v>
      </c>
      <c r="F161" s="2" t="inlineStr">
        <is>
          <t>2026-07-16T13:58:06</t>
        </is>
      </c>
      <c r="G161" s="2" t="inlineStr">
        <is>
          <t>text Word integral</t>
        </is>
      </c>
      <c r="H161" s="2" t="inlineStr"/>
    </row>
    <row r="162">
      <c r="A162" s="2" t="inlineStr">
        <is>
          <t>\\192.168.100.169\Comun\00. Proiecte 2026 - SCRIEM</t>
        </is>
      </c>
      <c r="B162" s="2" t="inlineStr">
        <is>
          <t>\\192.168.100.169\Comun\00. Proiecte 2026 - SCRIEM\2026.09.30 Acțiunea 2.1 POCIDIF\P1. Dancorproiect SRL\Anexe mysmis - de completat\Anexa 2 - Declaratia unică.docx</t>
        </is>
      </c>
      <c r="C162" s="2" t="inlineStr">
        <is>
          <t>Anexa 2 - Declaratia unică.docx</t>
        </is>
      </c>
      <c r="D162" s="2" t="inlineStr">
        <is>
          <t>.docx</t>
        </is>
      </c>
      <c r="E162" s="2" t="n">
        <v>45607</v>
      </c>
      <c r="F162" s="2" t="inlineStr">
        <is>
          <t>2026-07-16T13:43:56</t>
        </is>
      </c>
      <c r="G162" s="2" t="inlineStr">
        <is>
          <t>text Word integral</t>
        </is>
      </c>
      <c r="H162" s="2" t="inlineStr"/>
    </row>
    <row r="163">
      <c r="A163" s="2" t="inlineStr">
        <is>
          <t>\\192.168.100.169\Comun\00. Proiecte 2026 - SCRIEM</t>
        </is>
      </c>
      <c r="B163" s="2" t="inlineStr">
        <is>
          <t>\\192.168.100.169\Comun\00. Proiecte 2026 - SCRIEM\2026.09.30 Acțiunea 2.1 POCIDIF\P1. Dancorproiect SRL\Anexe mysmis - de completat\Anexa 3- Plan monitorizare.docx</t>
        </is>
      </c>
      <c r="C163" s="2" t="inlineStr">
        <is>
          <t>Anexa 3- Plan monitorizare.docx</t>
        </is>
      </c>
      <c r="D163" s="2" t="inlineStr">
        <is>
          <t>.docx</t>
        </is>
      </c>
      <c r="E163" s="2" t="n">
        <v>38398</v>
      </c>
      <c r="F163" s="2" t="inlineStr">
        <is>
          <t>2026-06-25T15:21:48</t>
        </is>
      </c>
      <c r="G163" s="2" t="inlineStr">
        <is>
          <t>text Word integral</t>
        </is>
      </c>
      <c r="H163" s="2" t="inlineStr"/>
    </row>
    <row r="164">
      <c r="A164" s="2" t="inlineStr">
        <is>
          <t>\\192.168.100.169\Comun\00. Proiecte 2026 - SCRIEM</t>
        </is>
      </c>
      <c r="B164" s="2" t="inlineStr">
        <is>
          <t>\\192.168.100.169\Comun\00. Proiecte 2026 - SCRIEM\2026.09.30 Acțiunea 2.1 POCIDIF\P1. Dancorproiect SRL\Anexe mysmis - de completat\Anexa 5 - Model Declaratie eligibilitate TVA.doc</t>
        </is>
      </c>
      <c r="C164" s="2" t="inlineStr">
        <is>
          <t>Anexa 5 - Model Declaratie eligibilitate TVA.doc</t>
        </is>
      </c>
      <c r="D164" s="2" t="inlineStr">
        <is>
          <t>.doc</t>
        </is>
      </c>
      <c r="E164" s="2" t="n">
        <v>273408</v>
      </c>
      <c r="F164" s="2" t="inlineStr">
        <is>
          <t>2026-07-16T13:50:49</t>
        </is>
      </c>
      <c r="G164" s="2" t="inlineStr">
        <is>
          <t>format non analysé</t>
        </is>
      </c>
      <c r="H164" s="2" t="inlineStr"/>
    </row>
    <row r="165">
      <c r="A165" s="2" t="inlineStr">
        <is>
          <t>\\192.168.100.169\Comun\00. Proiecte 2026 - SCRIEM</t>
        </is>
      </c>
      <c r="B165" s="2" t="inlineStr">
        <is>
          <t>\\192.168.100.169\Comun\00. Proiecte 2026 - SCRIEM\2026.09.30 Acțiunea 2.1 POCIDIF\P1. Dancorproiect SRL\Anexe mysmis - de completat\Anexa 8 - Model Declaratie conflict de interese echipa proiect.docx</t>
        </is>
      </c>
      <c r="C165" s="2" t="inlineStr">
        <is>
          <t>Anexa 8 - Model Declaratie conflict de interese echipa proiect.docx</t>
        </is>
      </c>
      <c r="D165" s="2" t="inlineStr">
        <is>
          <t>.docx</t>
        </is>
      </c>
      <c r="E165" s="2" t="n">
        <v>243359</v>
      </c>
      <c r="F165" s="2" t="inlineStr">
        <is>
          <t>2026-07-10T16:02:45</t>
        </is>
      </c>
      <c r="G165" s="2" t="inlineStr">
        <is>
          <t>text Word integral</t>
        </is>
      </c>
      <c r="H165" s="2" t="inlineStr"/>
    </row>
    <row r="166">
      <c r="A166" s="2" t="inlineStr">
        <is>
          <t>\\192.168.100.169\Comun\00. Proiecte 2026 - SCRIEM</t>
        </is>
      </c>
      <c r="B166" s="2" t="inlineStr">
        <is>
          <t>\\192.168.100.169\Comun\00. Proiecte 2026 - SCRIEM\2026.09.30 Acțiunea 2.1 POCIDIF\P1. Dancorproiect SRL\CV-uri\Adrian Potra CV.pdf</t>
        </is>
      </c>
      <c r="C166" s="2" t="inlineStr">
        <is>
          <t>Adrian Potra CV.pdf</t>
        </is>
      </c>
      <c r="D166" s="2" t="inlineStr">
        <is>
          <t>.pdf</t>
        </is>
      </c>
      <c r="E166" s="2" t="n">
        <v>47999</v>
      </c>
      <c r="F166" s="2" t="inlineStr">
        <is>
          <t>2025-12-10T10:47:09</t>
        </is>
      </c>
      <c r="G166" s="2" t="inlineStr">
        <is>
          <t>text PDF integral</t>
        </is>
      </c>
      <c r="H166" s="2" t="inlineStr"/>
    </row>
    <row r="167">
      <c r="A167" s="2" t="inlineStr">
        <is>
          <t>\\192.168.100.169\Comun\00. Proiecte 2026 - SCRIEM</t>
        </is>
      </c>
      <c r="B167" s="2" t="inlineStr">
        <is>
          <t>\\192.168.100.169\Comun\00. Proiecte 2026 - SCRIEM\2026.09.30 Acțiunea 2.1 POCIDIF\P1. Dancorproiect SRL\CV-uri\Covaciu Cosmin-Adrian CV 1.doc</t>
        </is>
      </c>
      <c r="C167" s="2" t="inlineStr">
        <is>
          <t>Covaciu Cosmin-Adrian CV 1.doc</t>
        </is>
      </c>
      <c r="D167" s="2" t="inlineStr">
        <is>
          <t>.doc</t>
        </is>
      </c>
      <c r="E167" s="2" t="n">
        <v>147456</v>
      </c>
      <c r="F167" s="2" t="inlineStr">
        <is>
          <t>2019-09-07T13:45:20</t>
        </is>
      </c>
      <c r="G167" s="2" t="inlineStr">
        <is>
          <t>format non analysé</t>
        </is>
      </c>
      <c r="H167" s="2" t="inlineStr"/>
    </row>
    <row r="168">
      <c r="A168" s="2" t="inlineStr">
        <is>
          <t>\\192.168.100.169\Comun\00. Proiecte 2026 - SCRIEM</t>
        </is>
      </c>
      <c r="B168" s="2" t="inlineStr">
        <is>
          <t>\\192.168.100.169\Comun\00. Proiecte 2026 - SCRIEM\2026.09.30 Acțiunea 2.1 POCIDIF\P1. Dancorproiect SRL\CV-uri\CV Bogdan Pintea.pdf</t>
        </is>
      </c>
      <c r="C168" s="2" t="inlineStr">
        <is>
          <t>CV Bogdan Pintea.pdf</t>
        </is>
      </c>
      <c r="D168" s="2" t="inlineStr">
        <is>
          <t>.pdf</t>
        </is>
      </c>
      <c r="E168" s="2" t="n">
        <v>345657</v>
      </c>
      <c r="F168" s="2" t="inlineStr">
        <is>
          <t>2026-02-28T14:24:09</t>
        </is>
      </c>
      <c r="G168" s="2" t="inlineStr">
        <is>
          <t>text PDF integral</t>
        </is>
      </c>
      <c r="H168" s="2" t="inlineStr"/>
    </row>
    <row r="169">
      <c r="A169" s="2" t="inlineStr">
        <is>
          <t>\\192.168.100.169\Comun\00. Proiecte 2026 - SCRIEM</t>
        </is>
      </c>
      <c r="B169" s="2" t="inlineStr">
        <is>
          <t>\\192.168.100.169\Comun\00. Proiecte 2026 - SCRIEM\2026.09.30 Acțiunea 2.1 POCIDIF\P1. Dancorproiect SRL\CV-uri\CV Cristina Potra.pdf</t>
        </is>
      </c>
      <c r="C169" s="2" t="inlineStr">
        <is>
          <t>CV Cristina Potra.pdf</t>
        </is>
      </c>
      <c r="D169" s="2" t="inlineStr">
        <is>
          <t>.pdf</t>
        </is>
      </c>
      <c r="E169" s="2" t="n">
        <v>325618</v>
      </c>
      <c r="F169" s="2" t="inlineStr">
        <is>
          <t>2026-02-28T14:24:27</t>
        </is>
      </c>
      <c r="G169" s="2" t="inlineStr">
        <is>
          <t>text PDF integral</t>
        </is>
      </c>
      <c r="H169" s="2" t="inlineStr"/>
    </row>
    <row r="170">
      <c r="A170" s="2" t="inlineStr">
        <is>
          <t>\\192.168.100.169\Comun\00. Proiecte 2026 - SCRIEM</t>
        </is>
      </c>
      <c r="B170" s="2" t="inlineStr">
        <is>
          <t>\\192.168.100.169\Comun\00. Proiecte 2026 - SCRIEM\2026.09.30 Acțiunea 2.1 POCIDIF\P1. Dancorproiect SRL\CV-uri\CV Mihai Jalobeanu.pdf</t>
        </is>
      </c>
      <c r="C170" s="2" t="inlineStr">
        <is>
          <t>CV Mihai Jalobeanu.pdf</t>
        </is>
      </c>
      <c r="D170" s="2" t="inlineStr">
        <is>
          <t>.pdf</t>
        </is>
      </c>
      <c r="E170" s="2" t="n">
        <v>332896</v>
      </c>
      <c r="F170" s="2" t="inlineStr">
        <is>
          <t>2026-02-28T14:24:38</t>
        </is>
      </c>
      <c r="G170" s="2" t="inlineStr">
        <is>
          <t>text PDF integral</t>
        </is>
      </c>
      <c r="H170" s="2" t="inlineStr"/>
    </row>
    <row r="171">
      <c r="A171" s="2" t="inlineStr">
        <is>
          <t>\\192.168.100.169\Comun\00. Proiecte 2026 - SCRIEM</t>
        </is>
      </c>
      <c r="B171" s="2" t="inlineStr">
        <is>
          <t>\\192.168.100.169\Comun\00. Proiecte 2026 - SCRIEM\2026.09.30 Acțiunea 2.1 POCIDIF\P1. Dancorproiect SRL\mysmis\1. Capacitate Solicitant.docx</t>
        </is>
      </c>
      <c r="C171" s="2" t="inlineStr">
        <is>
          <t>1. Capacitate Solicitant.docx</t>
        </is>
      </c>
      <c r="D171" s="2" t="inlineStr">
        <is>
          <t>.docx</t>
        </is>
      </c>
      <c r="E171" s="2" t="n">
        <v>11398</v>
      </c>
      <c r="F171" s="2" t="inlineStr">
        <is>
          <t>2026-07-16T15:20:50</t>
        </is>
      </c>
      <c r="G171" s="2" t="inlineStr">
        <is>
          <t>text Word integral</t>
        </is>
      </c>
      <c r="H171" s="2" t="inlineStr"/>
    </row>
    <row r="172">
      <c r="A172" s="2" t="inlineStr">
        <is>
          <t>\\192.168.100.169\Comun\00. Proiecte 2026 - SCRIEM</t>
        </is>
      </c>
      <c r="B172" s="2" t="inlineStr">
        <is>
          <t>\\192.168.100.169\Comun\00. Proiecte 2026 - SCRIEM\2026.09.30 Acțiunea 2.1 POCIDIF\P1. Dancorproiect SRL\mysmis\10. Maturitate proiect.docx</t>
        </is>
      </c>
      <c r="C172" s="2" t="inlineStr">
        <is>
          <t>10. Maturitate proiect.docx</t>
        </is>
      </c>
      <c r="D172" s="2" t="inlineStr">
        <is>
          <t>.docx</t>
        </is>
      </c>
      <c r="E172" s="2" t="n">
        <v>14231</v>
      </c>
      <c r="F172" s="2" t="inlineStr">
        <is>
          <t>2026-07-08T11:58:35</t>
        </is>
      </c>
      <c r="G172" s="2" t="inlineStr">
        <is>
          <t>text Word integral</t>
        </is>
      </c>
      <c r="H172" s="2" t="inlineStr"/>
    </row>
    <row r="173">
      <c r="A173" s="2" t="inlineStr">
        <is>
          <t>\\192.168.100.169\Comun\00. Proiecte 2026 - SCRIEM</t>
        </is>
      </c>
      <c r="B173" s="2" t="inlineStr">
        <is>
          <t>\\192.168.100.169\Comun\00. Proiecte 2026 - SCRIEM\2026.09.30 Acțiunea 2.1 POCIDIF\P1. Dancorproiect SRL\mysmis\11. Descriere investitie.docx</t>
        </is>
      </c>
      <c r="C173" s="2" t="inlineStr">
        <is>
          <t>11. Descriere investitie.docx</t>
        </is>
      </c>
      <c r="D173" s="2" t="inlineStr">
        <is>
          <t>.docx</t>
        </is>
      </c>
      <c r="E173" s="2" t="n">
        <v>12001</v>
      </c>
      <c r="F173" s="2" t="inlineStr">
        <is>
          <t>2026-07-16T15:20:50</t>
        </is>
      </c>
      <c r="G173" s="2" t="inlineStr">
        <is>
          <t>text Word integral</t>
        </is>
      </c>
      <c r="H173" s="2" t="inlineStr"/>
    </row>
    <row r="174">
      <c r="A174" s="2" t="inlineStr">
        <is>
          <t>\\192.168.100.169\Comun\00. Proiecte 2026 - SCRIEM</t>
        </is>
      </c>
      <c r="B174" s="2" t="inlineStr">
        <is>
          <t>\\192.168.100.169\Comun\00. Proiecte 2026 - SCRIEM\2026.09.30 Acțiunea 2.1 POCIDIF\P1. Dancorproiect SRL\mysmis\12. Documentații tehnico-economice.docx</t>
        </is>
      </c>
      <c r="C174" s="2" t="inlineStr">
        <is>
          <t>12. Documentații tehnico-economice.docx</t>
        </is>
      </c>
      <c r="D174" s="2" t="inlineStr">
        <is>
          <t>.docx</t>
        </is>
      </c>
      <c r="E174" s="2" t="n">
        <v>13543</v>
      </c>
      <c r="F174" s="2" t="inlineStr">
        <is>
          <t>2026-07-13T15:39:43</t>
        </is>
      </c>
      <c r="G174" s="2" t="inlineStr">
        <is>
          <t>text Word integral</t>
        </is>
      </c>
      <c r="H174" s="2" t="inlineStr"/>
    </row>
    <row r="175">
      <c r="A175" s="2" t="inlineStr">
        <is>
          <t>\\192.168.100.169\Comun\00. Proiecte 2026 - SCRIEM</t>
        </is>
      </c>
      <c r="B175" s="2" t="inlineStr">
        <is>
          <t>\\192.168.100.169\Comun\00. Proiecte 2026 - SCRIEM\2026.09.30 Acțiunea 2.1 POCIDIF\P1. Dancorproiect SRL\mysmis\13. Rezultate asteptate.docx</t>
        </is>
      </c>
      <c r="C175" s="2" t="inlineStr">
        <is>
          <t>13. Rezultate asteptate.docx</t>
        </is>
      </c>
      <c r="D175" s="2" t="inlineStr">
        <is>
          <t>.docx</t>
        </is>
      </c>
      <c r="E175" s="2" t="n">
        <v>11776</v>
      </c>
      <c r="F175" s="2" t="inlineStr">
        <is>
          <t>2026-07-13T15:40:16</t>
        </is>
      </c>
      <c r="G175" s="2" t="inlineStr">
        <is>
          <t>text Word integral</t>
        </is>
      </c>
      <c r="H175" s="2" t="inlineStr"/>
    </row>
    <row r="176">
      <c r="A176" s="2" t="inlineStr">
        <is>
          <t>\\192.168.100.169\Comun\00. Proiecte 2026 - SCRIEM</t>
        </is>
      </c>
      <c r="B176" s="2" t="inlineStr">
        <is>
          <t>\\192.168.100.169\Comun\00. Proiecte 2026 - SCRIEM\2026.09.30 Acțiunea 2.1 POCIDIF\P1. Dancorproiect SRL\mysmis\2. Localizare Proiect.docx</t>
        </is>
      </c>
      <c r="C176" s="2" t="inlineStr">
        <is>
          <t>2. Localizare Proiect.docx</t>
        </is>
      </c>
      <c r="D176" s="2" t="inlineStr">
        <is>
          <t>.docx</t>
        </is>
      </c>
      <c r="E176" s="2" t="n">
        <v>12471</v>
      </c>
      <c r="F176" s="2" t="inlineStr">
        <is>
          <t>2026-07-13T15:39:43</t>
        </is>
      </c>
      <c r="G176" s="2" t="inlineStr">
        <is>
          <t>text Word integral</t>
        </is>
      </c>
      <c r="H176" s="2" t="inlineStr"/>
    </row>
    <row r="177">
      <c r="A177" s="2" t="inlineStr">
        <is>
          <t>\\192.168.100.169\Comun\00. Proiecte 2026 - SCRIEM</t>
        </is>
      </c>
      <c r="B177" s="2" t="inlineStr">
        <is>
          <t>\\192.168.100.169\Comun\00. Proiecte 2026 - SCRIEM\2026.09.30 Acțiunea 2.1 POCIDIF\P1. Dancorproiect SRL\mysmis\3. Obiective Proiect (1).docx</t>
        </is>
      </c>
      <c r="C177" s="2" t="inlineStr">
        <is>
          <t>3. Obiective Proiect (1).docx</t>
        </is>
      </c>
      <c r="D177" s="2" t="inlineStr">
        <is>
          <t>.docx</t>
        </is>
      </c>
      <c r="E177" s="2" t="n">
        <v>14576</v>
      </c>
      <c r="F177" s="2" t="inlineStr">
        <is>
          <t>2026-07-08T11:31:25</t>
        </is>
      </c>
      <c r="G177" s="2" t="inlineStr">
        <is>
          <t>text Word integral</t>
        </is>
      </c>
      <c r="H177" s="2" t="inlineStr"/>
    </row>
    <row r="178">
      <c r="A178" s="2" t="inlineStr">
        <is>
          <t>\\192.168.100.169\Comun\00. Proiecte 2026 - SCRIEM</t>
        </is>
      </c>
      <c r="B178" s="2" t="inlineStr">
        <is>
          <t>\\192.168.100.169\Comun\00. Proiecte 2026 - SCRIEM\2026.09.30 Acțiunea 2.1 POCIDIF\P1. Dancorproiect SRL\mysmis\3.1 Activitati Proiect.docx</t>
        </is>
      </c>
      <c r="C178" s="2" t="inlineStr">
        <is>
          <t>3.1 Activitati Proiect.docx</t>
        </is>
      </c>
      <c r="D178" s="2" t="inlineStr">
        <is>
          <t>.docx</t>
        </is>
      </c>
      <c r="E178" s="2" t="n">
        <v>17453</v>
      </c>
      <c r="F178" s="2" t="inlineStr">
        <is>
          <t>2026-07-10T20:28:33</t>
        </is>
      </c>
      <c r="G178" s="2" t="inlineStr">
        <is>
          <t>text Word integral</t>
        </is>
      </c>
      <c r="H178" s="2" t="inlineStr">
        <is>
          <t>re. Punctaj 2.1 (PMF); indicator obligatoriu de introducere în piață (contracte/facturi reale). A6 Informare/publicitate L1–L24 · 30.000 € – vizibilitate conform regulilor UE (obligatoriu). A7 Management de proiect L1–L24 · 90.000 € – coordonare, raportare, achiziții (salarii manager + financiar). A8 Audit tehnic L22–L24 · 60.</t>
        </is>
      </c>
    </row>
    <row r="179">
      <c r="A179" s="2" t="inlineStr">
        <is>
          <t>\\192.168.100.169\Comun\00. Proiecte 2026 - SCRIEM</t>
        </is>
      </c>
      <c r="B179" s="2" t="inlineStr">
        <is>
          <t>\\192.168.100.169\Comun\00. Proiecte 2026 - SCRIEM\2026.09.30 Acțiunea 2.1 POCIDIF\P1. Dancorproiect SRL\mysmis\4. justificare-context- relevanta - oprtunitate.docx</t>
        </is>
      </c>
      <c r="C179" s="2" t="inlineStr">
        <is>
          <t>4. justificare-context- relevanta - oprtunitate.docx</t>
        </is>
      </c>
      <c r="D179" s="2" t="inlineStr">
        <is>
          <t>.docx</t>
        </is>
      </c>
      <c r="E179" s="2" t="n">
        <v>13852</v>
      </c>
      <c r="F179" s="2" t="inlineStr">
        <is>
          <t>2026-07-08T11:37:26</t>
        </is>
      </c>
      <c r="G179" s="2" t="inlineStr">
        <is>
          <t>text Word integral</t>
        </is>
      </c>
      <c r="H179" s="2" t="inlineStr"/>
    </row>
    <row r="180">
      <c r="A180" s="2" t="inlineStr">
        <is>
          <t>\\192.168.100.169\Comun\00. Proiecte 2026 - SCRIEM</t>
        </is>
      </c>
      <c r="B180" s="2" t="inlineStr">
        <is>
          <t>\\192.168.100.169\Comun\00. Proiecte 2026 - SCRIEM\2026.09.30 Acțiunea 2.1 POCIDIF\P1. Dancorproiect SRL\mysmis\5. Durabilitate.docx</t>
        </is>
      </c>
      <c r="C180" s="2" t="inlineStr">
        <is>
          <t>5. Durabilitate.docx</t>
        </is>
      </c>
      <c r="D180" s="2" t="inlineStr">
        <is>
          <t>.docx</t>
        </is>
      </c>
      <c r="E180" s="2" t="n">
        <v>14519</v>
      </c>
      <c r="F180" s="2" t="inlineStr">
        <is>
          <t>2026-07-08T11:39:56</t>
        </is>
      </c>
      <c r="G180" s="2" t="inlineStr">
        <is>
          <t>text Word integral</t>
        </is>
      </c>
      <c r="H180" s="2" t="inlineStr"/>
    </row>
    <row r="181">
      <c r="A181" s="2" t="inlineStr">
        <is>
          <t>\\192.168.100.169\Comun\00. Proiecte 2026 - SCRIEM</t>
        </is>
      </c>
      <c r="B181" s="2" t="inlineStr">
        <is>
          <t>\\192.168.100.169\Comun\00. Proiecte 2026 - SCRIEM\2026.09.30 Acțiunea 2.1 POCIDIF\P1. Dancorproiect SRL\mysmis\6. Riscuri.docx</t>
        </is>
      </c>
      <c r="C181" s="2" t="inlineStr">
        <is>
          <t>6. Riscuri.docx</t>
        </is>
      </c>
      <c r="D181" s="2" t="inlineStr">
        <is>
          <t>.docx</t>
        </is>
      </c>
      <c r="E181" s="2" t="n">
        <v>13533</v>
      </c>
      <c r="F181" s="2" t="inlineStr">
        <is>
          <t>2026-07-08T11:41:56</t>
        </is>
      </c>
      <c r="G181" s="2" t="inlineStr">
        <is>
          <t>text Word integral</t>
        </is>
      </c>
      <c r="H181" s="2" t="inlineStr"/>
    </row>
    <row r="182">
      <c r="A182" s="2" t="inlineStr">
        <is>
          <t>\\192.168.100.169\Comun\00. Proiecte 2026 - SCRIEM</t>
        </is>
      </c>
      <c r="B182" s="2" t="inlineStr">
        <is>
          <t>\\192.168.100.169\Comun\00. Proiecte 2026 - SCRIEM\2026.09.30 Acțiunea 2.1 POCIDIF\P1. Dancorproiect SRL\mysmis\7. Grup tinta.docx</t>
        </is>
      </c>
      <c r="C182" s="2" t="inlineStr">
        <is>
          <t>7. Grup tinta.docx</t>
        </is>
      </c>
      <c r="D182" s="2" t="inlineStr">
        <is>
          <t>.docx</t>
        </is>
      </c>
      <c r="E182" s="2" t="n">
        <v>13381</v>
      </c>
      <c r="F182" s="2" t="inlineStr">
        <is>
          <t>2026-07-08T11:43:16</t>
        </is>
      </c>
      <c r="G182" s="2" t="inlineStr">
        <is>
          <t>text Word integral</t>
        </is>
      </c>
      <c r="H182" s="2" t="inlineStr"/>
    </row>
    <row r="183">
      <c r="A183" s="2" t="inlineStr">
        <is>
          <t>\\192.168.100.169\Comun\00. Proiecte 2026 - SCRIEM</t>
        </is>
      </c>
      <c r="B183" s="2" t="inlineStr">
        <is>
          <t>\\192.168.100.169\Comun\00. Proiecte 2026 - SCRIEM\2026.09.30 Acțiunea 2.1 POCIDIF\P1. Dancorproiect SRL\mysmis\8. Principii orizontale.docx</t>
        </is>
      </c>
      <c r="C183" s="2" t="inlineStr">
        <is>
          <t>8. Principii orizontale.docx</t>
        </is>
      </c>
      <c r="D183" s="2" t="inlineStr">
        <is>
          <t>.docx</t>
        </is>
      </c>
      <c r="E183" s="2" t="n">
        <v>13986</v>
      </c>
      <c r="F183" s="2" t="inlineStr">
        <is>
          <t>2026-07-08T11:49:18</t>
        </is>
      </c>
      <c r="G183" s="2" t="inlineStr">
        <is>
          <t>text Word integral</t>
        </is>
      </c>
      <c r="H183" s="2" t="inlineStr"/>
    </row>
    <row r="184">
      <c r="A184" s="2" t="inlineStr">
        <is>
          <t>\\192.168.100.169\Comun\00. Proiecte 2026 - SCRIEM</t>
        </is>
      </c>
      <c r="B184" s="2" t="inlineStr">
        <is>
          <t>\\192.168.100.169\Comun\00. Proiecte 2026 - SCRIEM\2026.09.30 Acțiunea 2.1 POCIDIF\P1. Dancorproiect SRL\mysmis\9. Metodologia de implementare proiect.docx</t>
        </is>
      </c>
      <c r="C184" s="2" t="inlineStr">
        <is>
          <t>9. Metodologia de implementare proiect.docx</t>
        </is>
      </c>
      <c r="D184" s="2" t="inlineStr">
        <is>
          <t>.docx</t>
        </is>
      </c>
      <c r="E184" s="2" t="n">
        <v>13501</v>
      </c>
      <c r="F184" s="2" t="inlineStr">
        <is>
          <t>2026-07-08T11:55:59</t>
        </is>
      </c>
      <c r="G184" s="2" t="inlineStr">
        <is>
          <t>text Word integral</t>
        </is>
      </c>
      <c r="H184" s="2" t="inlineStr"/>
    </row>
    <row r="185">
      <c r="A185" s="2" t="inlineStr">
        <is>
          <t>\\192.168.100.169\Comun\00. Proiecte 2026 - SCRIEM</t>
        </is>
      </c>
      <c r="B185" s="2" t="inlineStr">
        <is>
          <t>\\192.168.100.169\Comun\00. Proiecte 2026 - SCRIEM\2026.09.30 Acțiunea 2.1 POCIDIF\P1. Dancorproiect SRL\mysmis\0. Arhiva\1. Capacitate (v 942857).docx</t>
        </is>
      </c>
      <c r="C185" s="2" t="inlineStr">
        <is>
          <t>1. Capacitate (v 942857).docx</t>
        </is>
      </c>
      <c r="D185" s="2" t="inlineStr">
        <is>
          <t>.docx</t>
        </is>
      </c>
      <c r="E185" s="2" t="n">
        <v>11398</v>
      </c>
      <c r="F185" s="2" t="inlineStr">
        <is>
          <t>2026-07-14T14:33:23</t>
        </is>
      </c>
      <c r="G185" s="2" t="inlineStr">
        <is>
          <t>text Word integral</t>
        </is>
      </c>
      <c r="H185" s="2" t="inlineStr"/>
    </row>
    <row r="186">
      <c r="A186" s="2" t="inlineStr">
        <is>
          <t>\\192.168.100.169\Comun\00. Proiecte 2026 - SCRIEM</t>
        </is>
      </c>
      <c r="B186" s="2" t="inlineStr">
        <is>
          <t>\\192.168.100.169\Comun\00. Proiecte 2026 - SCRIEM\2026.09.30 Acțiunea 2.1 POCIDIF\P1. Dancorproiect SRL\mysmis\0. Arhiva\1. Capacitate Solicitant (v 1050857).docx</t>
        </is>
      </c>
      <c r="C186" s="2" t="inlineStr">
        <is>
          <t>1. Capacitate Solicitant (v 1050857).docx</t>
        </is>
      </c>
      <c r="D186" s="2" t="inlineStr">
        <is>
          <t>.docx</t>
        </is>
      </c>
      <c r="E186" s="2" t="n">
        <v>11398</v>
      </c>
      <c r="F186" s="2" t="inlineStr">
        <is>
          <t>2026-07-16T15:19:36</t>
        </is>
      </c>
      <c r="G186" s="2" t="inlineStr">
        <is>
          <t>text Word integral</t>
        </is>
      </c>
      <c r="H186" s="2" t="inlineStr"/>
    </row>
    <row r="187">
      <c r="A187" s="2" t="inlineStr">
        <is>
          <t>\\192.168.100.169\Comun\00. Proiecte 2026 - SCRIEM</t>
        </is>
      </c>
      <c r="B187" s="2" t="inlineStr">
        <is>
          <t>\\192.168.100.169\Comun\00. Proiecte 2026 - SCRIEM\2026.09.30 Acțiunea 2.1 POCIDIF\P1. Dancorproiect SRL\mysmis\0. Arhiva\11. Descriere investitie (v 942857).docx</t>
        </is>
      </c>
      <c r="C187" s="2" t="inlineStr">
        <is>
          <t>11. Descriere investitie (v 942857).docx</t>
        </is>
      </c>
      <c r="D187" s="2" t="inlineStr">
        <is>
          <t>.docx</t>
        </is>
      </c>
      <c r="E187" s="2" t="n">
        <v>11999</v>
      </c>
      <c r="F187" s="2" t="inlineStr">
        <is>
          <t>2026-07-14T14:33:23</t>
        </is>
      </c>
      <c r="G187" s="2" t="inlineStr">
        <is>
          <t>text Word integral</t>
        </is>
      </c>
      <c r="H187" s="2" t="inlineStr"/>
    </row>
    <row r="188">
      <c r="A188" s="2" t="inlineStr">
        <is>
          <t>\\192.168.100.169\Comun\00. Proiecte 2026 - SCRIEM</t>
        </is>
      </c>
      <c r="B188" s="2" t="inlineStr">
        <is>
          <t>\\192.168.100.169\Comun\00. Proiecte 2026 - SCRIEM\2026.09.30 Acțiunea 2.1 POCIDIF\P1. Dancorproiect SRL\mysmis\0. Arhiva\[template gol] 1. Capacitate Solicitant.docx</t>
        </is>
      </c>
      <c r="C188" s="2" t="inlineStr">
        <is>
          <t>[template gol] 1. Capacitate Solicitant.docx</t>
        </is>
      </c>
      <c r="D188" s="2" t="inlineStr">
        <is>
          <t>.docx</t>
        </is>
      </c>
      <c r="E188" s="2" t="n">
        <v>12620</v>
      </c>
      <c r="F188" s="2" t="inlineStr">
        <is>
          <t>2026-07-13T15:37:48</t>
        </is>
      </c>
      <c r="G188" s="2" t="inlineStr">
        <is>
          <t>text Word integral</t>
        </is>
      </c>
      <c r="H188" s="2" t="inlineStr"/>
    </row>
    <row r="189">
      <c r="A189" s="2" t="inlineStr">
        <is>
          <t>\\192.168.100.169\Comun\00. Proiecte 2026 - SCRIEM</t>
        </is>
      </c>
      <c r="B189" s="2" t="inlineStr">
        <is>
          <t>\\192.168.100.169\Comun\00. Proiecte 2026 - SCRIEM\2026.09.30 Acțiunea 2.1 POCIDIF\P1. Dancorproiect SRL\mysmis\0. Arhiva\[template gol] 11. Descriere investitie.docx</t>
        </is>
      </c>
      <c r="C189" s="2" t="inlineStr">
        <is>
          <t>[template gol] 11. Descriere investitie.docx</t>
        </is>
      </c>
      <c r="D189" s="2" t="inlineStr">
        <is>
          <t>.docx</t>
        </is>
      </c>
      <c r="E189" s="2" t="n">
        <v>13581</v>
      </c>
      <c r="F189" s="2" t="inlineStr">
        <is>
          <t>2026-07-13T15:37:48</t>
        </is>
      </c>
      <c r="G189" s="2" t="inlineStr">
        <is>
          <t>text Word integral</t>
        </is>
      </c>
      <c r="H189" s="2" t="inlineStr"/>
    </row>
    <row r="190">
      <c r="A190" s="2" t="inlineStr">
        <is>
          <t>\\192.168.100.169\Comun\00. Proiecte 2026 - SCRIEM</t>
        </is>
      </c>
      <c r="B190" s="2" t="inlineStr">
        <is>
          <t>\\192.168.100.169\Comun\00. Proiecte 2026 - SCRIEM\2026.09.30 Acțiunea 2.1 POCIDIF\P1. Dancorproiect SRL\mysmis\0. Arhiva\[template gol] 12. Documentații tehnico-economice.docx</t>
        </is>
      </c>
      <c r="C190" s="2" t="inlineStr">
        <is>
          <t>[template gol] 12. Documentații tehnico-economice.docx</t>
        </is>
      </c>
      <c r="D190" s="2" t="inlineStr">
        <is>
          <t>.docx</t>
        </is>
      </c>
      <c r="E190" s="2" t="n">
        <v>15299</v>
      </c>
      <c r="F190" s="2" t="inlineStr">
        <is>
          <t>2026-07-13T15:37:48</t>
        </is>
      </c>
      <c r="G190" s="2" t="inlineStr">
        <is>
          <t>text Word integral</t>
        </is>
      </c>
      <c r="H190" s="2" t="inlineStr"/>
    </row>
    <row r="191">
      <c r="A191" s="2" t="inlineStr">
        <is>
          <t>\\192.168.100.169\Comun\00. Proiecte 2026 - SCRIEM</t>
        </is>
      </c>
      <c r="B191" s="2" t="inlineStr">
        <is>
          <t>\\192.168.100.169\Comun\00. Proiecte 2026 - SCRIEM\2026.09.30 Acțiunea 2.1 POCIDIF\P1. Dancorproiect SRL\mysmis\0. Arhiva\[template gol] 13. Rezultate asteptate.docx</t>
        </is>
      </c>
      <c r="C191" s="2" t="inlineStr">
        <is>
          <t>[template gol] 13. Rezultate asteptate.docx</t>
        </is>
      </c>
      <c r="D191" s="2" t="inlineStr">
        <is>
          <t>.docx</t>
        </is>
      </c>
      <c r="E191" s="2" t="n">
        <v>13455</v>
      </c>
      <c r="F191" s="2" t="inlineStr">
        <is>
          <t>2026-07-13T15:37:48</t>
        </is>
      </c>
      <c r="G191" s="2" t="inlineStr">
        <is>
          <t>text Word integral</t>
        </is>
      </c>
      <c r="H191" s="2" t="inlineStr"/>
    </row>
    <row r="192">
      <c r="A192" s="2" t="inlineStr">
        <is>
          <t>\\192.168.100.169\Comun\00. Proiecte 2026 - SCRIEM</t>
        </is>
      </c>
      <c r="B192" s="2" t="inlineStr">
        <is>
          <t>\\192.168.100.169\Comun\00. Proiecte 2026 - SCRIEM\2026.09.30 Acțiunea 2.1 POCIDIF\P1. Dancorproiect SRL\mysmis\0. Arhiva\[template gol] 2. Localizare Proiect.docx</t>
        </is>
      </c>
      <c r="C192" s="2" t="inlineStr">
        <is>
          <t>[template gol] 2. Localizare Proiect.docx</t>
        </is>
      </c>
      <c r="D192" s="2" t="inlineStr">
        <is>
          <t>.docx</t>
        </is>
      </c>
      <c r="E192" s="2" t="n">
        <v>14079</v>
      </c>
      <c r="F192" s="2" t="inlineStr">
        <is>
          <t>2026-07-13T15:37:48</t>
        </is>
      </c>
      <c r="G192" s="2" t="inlineStr">
        <is>
          <t>text Word integral</t>
        </is>
      </c>
      <c r="H192" s="2" t="inlineStr"/>
    </row>
    <row r="193">
      <c r="A193" s="2" t="inlineStr">
        <is>
          <t>\\192.168.100.169\Comun\00. Proiecte 2026 - SCRIEM</t>
        </is>
      </c>
      <c r="B193" s="2" t="inlineStr">
        <is>
          <t>\\192.168.100.169\Comun\00. Proiecte 2026 - SCRIEM\2026.09.30 Acțiunea 2.1 POCIDIF\P1. SRM DESIGN SRL\00 - STRUCTURA DOSAR (sistem de capitole) - CUI 47344051.docx</t>
        </is>
      </c>
      <c r="C193" s="2" t="inlineStr">
        <is>
          <t>00 - STRUCTURA DOSAR (sistem de capitole) - CUI 47344051.docx</t>
        </is>
      </c>
      <c r="D193" s="2" t="inlineStr">
        <is>
          <t>.docx</t>
        </is>
      </c>
      <c r="E193" s="2" t="n">
        <v>13106</v>
      </c>
      <c r="F193" s="2" t="inlineStr">
        <is>
          <t>2026-07-30T17:09:24</t>
        </is>
      </c>
      <c r="G193" s="2" t="inlineStr">
        <is>
          <t>text Word integral</t>
        </is>
      </c>
      <c r="H193" s="2" t="inlineStr"/>
    </row>
    <row r="194">
      <c r="A194" s="2" t="inlineStr">
        <is>
          <t>\\192.168.100.169\Comun\00. Proiecte 2026 - SCRIEM</t>
        </is>
      </c>
      <c r="B194" s="2" t="inlineStr">
        <is>
          <t>\\192.168.100.169\Comun\00. Proiecte 2026 - SCRIEM\2026.09.30 Acțiunea 2.1 POCIDIF\P1. SRM DESIGN SRL\01. Documente firma\SRM DESIGN - Act constitutiv (modificare 2023.12.11).pdf</t>
        </is>
      </c>
      <c r="C194" s="2" t="inlineStr">
        <is>
          <t>SRM DESIGN - Act constitutiv (modificare 2023.12.11).pdf</t>
        </is>
      </c>
      <c r="D194" s="2" t="inlineStr">
        <is>
          <t>.pdf</t>
        </is>
      </c>
      <c r="E194" s="2" t="n">
        <v>185568</v>
      </c>
      <c r="F194" s="2" t="inlineStr">
        <is>
          <t>2026-07-03T11:57:14</t>
        </is>
      </c>
      <c r="G194" s="2" t="inlineStr">
        <is>
          <t>text PDF integral</t>
        </is>
      </c>
      <c r="H194" s="2" t="inlineStr"/>
    </row>
    <row r="195">
      <c r="A195" s="2" t="inlineStr">
        <is>
          <t>\\192.168.100.169\Comun\00. Proiecte 2026 - SCRIEM</t>
        </is>
      </c>
      <c r="B195" s="2" t="inlineStr">
        <is>
          <t>\\192.168.100.169\Comun\00. Proiecte 2026 - SCRIEM\2026.09.30 Acțiunea 2.1 POCIDIF\P1. SRM DESIGN SRL\01. Documente firma\SRM DESIGN - Certificat constatator 2025.03.05.pdf</t>
        </is>
      </c>
      <c r="C195" s="2" t="inlineStr">
        <is>
          <t>SRM DESIGN - Certificat constatator 2025.03.05.pdf</t>
        </is>
      </c>
      <c r="D195" s="2" t="inlineStr">
        <is>
          <t>.pdf</t>
        </is>
      </c>
      <c r="E195" s="2" t="n">
        <v>791033</v>
      </c>
      <c r="F195" s="2" t="inlineStr">
        <is>
          <t>2026-07-03T11:57:41</t>
        </is>
      </c>
      <c r="G195" s="2" t="inlineStr">
        <is>
          <t>text PDF integral</t>
        </is>
      </c>
      <c r="H195" s="2" t="inlineStr"/>
    </row>
    <row r="196">
      <c r="A196" s="2" t="inlineStr">
        <is>
          <t>\\192.168.100.169\Comun\00. Proiecte 2026 - SCRIEM</t>
        </is>
      </c>
      <c r="B196" s="2" t="inlineStr">
        <is>
          <t>\\192.168.100.169\Comun\00. Proiecte 2026 - SCRIEM\2026.09.30 Acțiunea 2.1 POCIDIF\P1. SRM DESIGN SRL\01. Documente firma\SRM DESIGN - Certificat inmatriculare CUI 47344051.pdf</t>
        </is>
      </c>
      <c r="C196" s="2" t="inlineStr">
        <is>
          <t>SRM DESIGN - Certificat inmatriculare CUI 47344051.pdf</t>
        </is>
      </c>
      <c r="D196" s="2" t="inlineStr">
        <is>
          <t>.pdf</t>
        </is>
      </c>
      <c r="E196" s="2" t="n">
        <v>1248314</v>
      </c>
      <c r="F196" s="2" t="inlineStr">
        <is>
          <t>2026-07-03T11:57:40</t>
        </is>
      </c>
      <c r="G196" s="2" t="inlineStr">
        <is>
          <t>PDF fără text extractibil; OCR necesar</t>
        </is>
      </c>
      <c r="H196" s="2" t="inlineStr"/>
    </row>
    <row r="197">
      <c r="A197" s="2" t="inlineStr">
        <is>
          <t>\\192.168.100.169\Comun\00. Proiecte 2026 - SCRIEM</t>
        </is>
      </c>
      <c r="B197" s="2" t="inlineStr">
        <is>
          <t>\\192.168.100.169\Comun\00. Proiecte 2026 - SCRIEM\2026.09.30 Acțiunea 2.1 POCIDIF\P1. SRM DESIGN SRL\01. Documente firma\SRM DESIGN - CI administrator Neamtiu Florin.png</t>
        </is>
      </c>
      <c r="C197" s="2" t="inlineStr">
        <is>
          <t>SRM DESIGN - CI administrator Neamtiu Florin.png</t>
        </is>
      </c>
      <c r="D197" s="2" t="inlineStr">
        <is>
          <t>.png</t>
        </is>
      </c>
      <c r="E197" s="2" t="n">
        <v>462766</v>
      </c>
      <c r="F197" s="2" t="inlineStr">
        <is>
          <t>2026-07-03T11:57:40</t>
        </is>
      </c>
      <c r="G197" s="2" t="inlineStr">
        <is>
          <t>format non analysé</t>
        </is>
      </c>
      <c r="H197" s="2" t="inlineStr"/>
    </row>
    <row r="198">
      <c r="A198" s="2" t="inlineStr">
        <is>
          <t>\\192.168.100.169\Comun\00. Proiecte 2026 - SCRIEM</t>
        </is>
      </c>
      <c r="B198" s="2" t="inlineStr">
        <is>
          <t>\\192.168.100.169\Comun\00. Proiecte 2026 - SCRIEM\2026.09.30 Acțiunea 2.1 POCIDIF\P1. SRM DESIGN SRL\01. Documente firma\SRM DESIGN - Extras cont BCR 2025.07.04.pdf</t>
        </is>
      </c>
      <c r="C198" s="2" t="inlineStr">
        <is>
          <t>SRM DESIGN - Extras cont BCR 2025.07.04.pdf</t>
        </is>
      </c>
      <c r="D198" s="2" t="inlineStr">
        <is>
          <t>.pdf</t>
        </is>
      </c>
      <c r="E198" s="2" t="n">
        <v>66498</v>
      </c>
      <c r="F198" s="2" t="inlineStr">
        <is>
          <t>2026-07-03T11:57:40</t>
        </is>
      </c>
      <c r="G198" s="2" t="inlineStr">
        <is>
          <t>text PDF integral</t>
        </is>
      </c>
      <c r="H198" s="2" t="inlineStr"/>
    </row>
    <row r="199">
      <c r="A199" s="2" t="inlineStr">
        <is>
          <t>\\192.168.100.169\Comun\00. Proiecte 2026 - SCRIEM</t>
        </is>
      </c>
      <c r="B199" s="2" t="inlineStr">
        <is>
          <t>\\192.168.100.169\Comun\00. Proiecte 2026 - SCRIEM\2026.09.30 Acțiunea 2.1 POCIDIF\P1. SRM DESIGN SRL\01. Documente firma\Situatii financiare (bilant + cont profit-pierdere)\189139174_Bilant_anual.pdf</t>
        </is>
      </c>
      <c r="C199" s="2" t="inlineStr">
        <is>
          <t>189139174_Bilant_anual.pdf</t>
        </is>
      </c>
      <c r="D199" s="2" t="inlineStr">
        <is>
          <t>.pdf</t>
        </is>
      </c>
      <c r="E199" s="2" t="n">
        <v>131522</v>
      </c>
      <c r="F199" s="2" t="inlineStr">
        <is>
          <t>2026-07-30T17:22:00</t>
        </is>
      </c>
      <c r="G199" s="2" t="inlineStr">
        <is>
          <t>text PDF integral</t>
        </is>
      </c>
      <c r="H199" s="2" t="inlineStr"/>
    </row>
    <row r="200">
      <c r="A200" s="2" t="inlineStr">
        <is>
          <t>\\192.168.100.169\Comun\00. Proiecte 2026 - SCRIEM</t>
        </is>
      </c>
      <c r="B200" s="2" t="inlineStr">
        <is>
          <t>\\192.168.100.169\Comun\00. Proiecte 2026 - SCRIEM\2026.09.30 Acțiunea 2.1 POCIDIF\P1. SRM DESIGN SRL\01. Documente firma\Situatii financiare (bilant + cont profit-pierdere)\189139177_Bilant_anual.pdf</t>
        </is>
      </c>
      <c r="C200" s="2" t="inlineStr">
        <is>
          <t>189139177_Bilant_anual.pdf</t>
        </is>
      </c>
      <c r="D200" s="2" t="inlineStr">
        <is>
          <t>.pdf</t>
        </is>
      </c>
      <c r="E200" s="2" t="n">
        <v>137972</v>
      </c>
      <c r="F200" s="2" t="inlineStr">
        <is>
          <t>2026-07-30T17:22:03</t>
        </is>
      </c>
      <c r="G200" s="2" t="inlineStr">
        <is>
          <t>text PDF integral</t>
        </is>
      </c>
      <c r="H200" s="2" t="inlineStr"/>
    </row>
    <row r="201">
      <c r="A201" s="2" t="inlineStr">
        <is>
          <t>\\192.168.100.169\Comun\00. Proiecte 2026 - SCRIEM</t>
        </is>
      </c>
      <c r="B201" s="2" t="inlineStr">
        <is>
          <t>\\192.168.100.169\Comun\00. Proiecte 2026 - SCRIEM\2026.09.30 Acțiunea 2.1 POCIDIF\P1. SRM DESIGN SRL\01. Documente firma\Situatii financiare (bilant + cont profit-pierdere)\189139181_Bilant_anual.pdf</t>
        </is>
      </c>
      <c r="C201" s="2" t="inlineStr">
        <is>
          <t>189139181_Bilant_anual.pdf</t>
        </is>
      </c>
      <c r="D201" s="2" t="inlineStr">
        <is>
          <t>.pdf</t>
        </is>
      </c>
      <c r="E201" s="2" t="n">
        <v>137228</v>
      </c>
      <c r="F201" s="2" t="inlineStr">
        <is>
          <t>2026-07-30T17:22:05</t>
        </is>
      </c>
      <c r="G201" s="2" t="inlineStr">
        <is>
          <t>text PDF integral</t>
        </is>
      </c>
      <c r="H201" s="2" t="inlineStr"/>
    </row>
    <row r="202">
      <c r="A202" s="2" t="inlineStr">
        <is>
          <t>\\192.168.100.169\Comun\00. Proiecte 2026 - SCRIEM</t>
        </is>
      </c>
      <c r="B202" s="2" t="inlineStr">
        <is>
          <t>\\192.168.100.169\Comun\00. Proiecte 2026 - SCRIEM\2026.09.30 Acțiunea 2.1 POCIDIF\P1. SRM DESIGN SRL\01. Documente firma\Situatii financiare (bilant + cont profit-pierdere)\189139188_Bilant_anual.pdf</t>
        </is>
      </c>
      <c r="C202" s="2" t="inlineStr">
        <is>
          <t>189139188_Bilant_anual.pdf</t>
        </is>
      </c>
      <c r="D202" s="2" t="inlineStr">
        <is>
          <t>.pdf</t>
        </is>
      </c>
      <c r="E202" s="2" t="n">
        <v>138594</v>
      </c>
      <c r="F202" s="2" t="inlineStr">
        <is>
          <t>2026-07-30T17:22:08</t>
        </is>
      </c>
      <c r="G202" s="2" t="inlineStr">
        <is>
          <t>text PDF integral</t>
        </is>
      </c>
      <c r="H202" s="2" t="inlineStr"/>
    </row>
    <row r="203">
      <c r="A203" s="2" t="inlineStr">
        <is>
          <t>\\192.168.100.169\Comun\00. Proiecte 2026 - SCRIEM</t>
        </is>
      </c>
      <c r="B203" s="2" t="inlineStr">
        <is>
          <t>\\192.168.100.169\Comun\00. Proiecte 2026 - SCRIEM\2026.09.30 Acțiunea 2.1 POCIDIF\P1. SRM DESIGN SRL\01. Documente firma\Situatii financiare (bilant + cont profit-pierdere)\_Ce trebuie pus aici.txt</t>
        </is>
      </c>
      <c r="C203" s="2" t="inlineStr">
        <is>
          <t>_Ce trebuie pus aici.txt</t>
        </is>
      </c>
      <c r="D203" s="2" t="inlineStr">
        <is>
          <t>.txt</t>
        </is>
      </c>
      <c r="E203" s="2" t="n">
        <v>1100</v>
      </c>
      <c r="F203" s="2" t="inlineStr">
        <is>
          <t>2026-07-30T17:46:24</t>
        </is>
      </c>
      <c r="G203" s="2" t="inlineStr">
        <is>
          <t>text integral</t>
        </is>
      </c>
      <c r="H203" s="2" t="inlineStr"/>
    </row>
    <row r="204">
      <c r="A204" s="2" t="inlineStr">
        <is>
          <t>\\192.168.100.169\Comun\00. Proiecte 2026 - SCRIEM</t>
        </is>
      </c>
      <c r="B204" s="2" t="inlineStr">
        <is>
          <t>\\192.168.100.169\Comun\00. Proiecte 2026 - SCRIEM\2026.09.30 Acțiunea 2.1 POCIDIF\P1. SRM DESIGN SRL\02. Documente persoane (CV-uri, CI)\Adrian Potra CV.pdf</t>
        </is>
      </c>
      <c r="C204" s="2" t="inlineStr">
        <is>
          <t>Adrian Potra CV.pdf</t>
        </is>
      </c>
      <c r="D204" s="2" t="inlineStr">
        <is>
          <t>.pdf</t>
        </is>
      </c>
      <c r="E204" s="2" t="n">
        <v>47999</v>
      </c>
      <c r="F204" s="2" t="inlineStr">
        <is>
          <t>2025-12-10T10:47:09</t>
        </is>
      </c>
      <c r="G204" s="2" t="inlineStr">
        <is>
          <t>text PDF integral</t>
        </is>
      </c>
      <c r="H204" s="2" t="inlineStr"/>
    </row>
    <row r="205">
      <c r="A205" s="2" t="inlineStr">
        <is>
          <t>\\192.168.100.169\Comun\00. Proiecte 2026 - SCRIEM</t>
        </is>
      </c>
      <c r="B205" s="2" t="inlineStr">
        <is>
          <t>\\192.168.100.169\Comun\00. Proiecte 2026 - SCRIEM\2026.09.30 Acțiunea 2.1 POCIDIF\P1. SRM DESIGN SRL\02. Documente persoane (CV-uri, CI)\CV Bogdan Pintea.pdf</t>
        </is>
      </c>
      <c r="C205" s="2" t="inlineStr">
        <is>
          <t>CV Bogdan Pintea.pdf</t>
        </is>
      </c>
      <c r="D205" s="2" t="inlineStr">
        <is>
          <t>.pdf</t>
        </is>
      </c>
      <c r="E205" s="2" t="n">
        <v>345657</v>
      </c>
      <c r="F205" s="2" t="inlineStr">
        <is>
          <t>2026-02-28T14:24:09</t>
        </is>
      </c>
      <c r="G205" s="2" t="inlineStr">
        <is>
          <t>text PDF integral</t>
        </is>
      </c>
      <c r="H205" s="2" t="inlineStr"/>
    </row>
    <row r="206">
      <c r="A206" s="2" t="inlineStr">
        <is>
          <t>\\192.168.100.169\Comun\00. Proiecte 2026 - SCRIEM</t>
        </is>
      </c>
      <c r="B206" s="2" t="inlineStr">
        <is>
          <t>\\192.168.100.169\Comun\00. Proiecte 2026 - SCRIEM\2026.09.30 Acțiunea 2.1 POCIDIF\P1. SRM DESIGN SRL\02. Documente persoane (CV-uri, CI)\CV Cristina Potra.pdf</t>
        </is>
      </c>
      <c r="C206" s="2" t="inlineStr">
        <is>
          <t>CV Cristina Potra.pdf</t>
        </is>
      </c>
      <c r="D206" s="2" t="inlineStr">
        <is>
          <t>.pdf</t>
        </is>
      </c>
      <c r="E206" s="2" t="n">
        <v>325618</v>
      </c>
      <c r="F206" s="2" t="inlineStr">
        <is>
          <t>2026-02-28T14:24:27</t>
        </is>
      </c>
      <c r="G206" s="2" t="inlineStr">
        <is>
          <t>text PDF integral</t>
        </is>
      </c>
      <c r="H206" s="2" t="inlineStr"/>
    </row>
    <row r="207">
      <c r="A207" s="2" t="inlineStr">
        <is>
          <t>\\192.168.100.169\Comun\00. Proiecte 2026 - SCRIEM</t>
        </is>
      </c>
      <c r="B207" s="2" t="inlineStr">
        <is>
          <t>\\192.168.100.169\Comun\00. Proiecte 2026 - SCRIEM\2026.09.30 Acțiunea 2.1 POCIDIF\P1. SRM DESIGN SRL\02. Documente persoane (CV-uri, CI)\CV Mihai Jalobeanu.pdf</t>
        </is>
      </c>
      <c r="C207" s="2" t="inlineStr">
        <is>
          <t>CV Mihai Jalobeanu.pdf</t>
        </is>
      </c>
      <c r="D207" s="2" t="inlineStr">
        <is>
          <t>.pdf</t>
        </is>
      </c>
      <c r="E207" s="2" t="n">
        <v>332896</v>
      </c>
      <c r="F207" s="2" t="inlineStr">
        <is>
          <t>2026-02-28T14:24:38</t>
        </is>
      </c>
      <c r="G207" s="2" t="inlineStr">
        <is>
          <t>text PDF integral</t>
        </is>
      </c>
      <c r="H207" s="2" t="inlineStr"/>
    </row>
    <row r="208">
      <c r="A208" s="2" t="inlineStr">
        <is>
          <t>\\192.168.100.169\Comun\00. Proiecte 2026 - SCRIEM</t>
        </is>
      </c>
      <c r="B208" s="2" t="inlineStr">
        <is>
          <t>\\192.168.100.169\Comun\00. Proiecte 2026 - SCRIEM\2026.09.30 Acțiunea 2.1 POCIDIF\P1. SRM DESIGN SRL\03. Documente oficiale apel si modele anexe\Anexa 11 - Model Declaratie IMM.docx</t>
        </is>
      </c>
      <c r="C208" s="2" t="inlineStr">
        <is>
          <t>Anexa 11 - Model Declaratie IMM.docx</t>
        </is>
      </c>
      <c r="D208" s="2" t="inlineStr">
        <is>
          <t>.docx</t>
        </is>
      </c>
      <c r="E208" s="2" t="n">
        <v>33155</v>
      </c>
      <c r="F208" s="2" t="inlineStr">
        <is>
          <t>2026-07-30T16:56:27</t>
        </is>
      </c>
      <c r="G208" s="2" t="inlineStr">
        <is>
          <t>text Word integral</t>
        </is>
      </c>
      <c r="H208" s="2" t="inlineStr"/>
    </row>
    <row r="209">
      <c r="A209" s="2" t="inlineStr">
        <is>
          <t>\\192.168.100.169\Comun\00. Proiecte 2026 - SCRIEM</t>
        </is>
      </c>
      <c r="B209" s="2" t="inlineStr">
        <is>
          <t>\\192.168.100.169\Comun\00. Proiecte 2026 - SCRIEM\2026.09.30 Acțiunea 2.1 POCIDIF\P1. SRM DESIGN SRL\03. Documente oficiale apel si modele anexe\Anexa 12 - Model contract de finantare si conditii specifice.docx</t>
        </is>
      </c>
      <c r="C209" s="2" t="inlineStr">
        <is>
          <t>Anexa 12 - Model contract de finantare si conditii specifice.docx</t>
        </is>
      </c>
      <c r="D209" s="2" t="inlineStr">
        <is>
          <t>.docx</t>
        </is>
      </c>
      <c r="E209" s="2" t="n">
        <v>99556</v>
      </c>
      <c r="F209" s="2" t="inlineStr">
        <is>
          <t>2026-07-30T16:56:27</t>
        </is>
      </c>
      <c r="G209" s="2" t="inlineStr">
        <is>
          <t>text Word integral</t>
        </is>
      </c>
      <c r="H209" s="2" t="inlineStr"/>
    </row>
    <row r="210">
      <c r="A210" s="2" t="inlineStr">
        <is>
          <t>\\192.168.100.169\Comun\00. Proiecte 2026 - SCRIEM</t>
        </is>
      </c>
      <c r="B210" s="2" t="inlineStr">
        <is>
          <t>\\192.168.100.169\Comun\00. Proiecte 2026 - SCRIEM\2026.09.30 Acțiunea 2.1 POCIDIF\P1. SRM DESIGN SRL\03. Documente oficiale apel si modele anexe\Anexa 2 - Declaratia unică.docx</t>
        </is>
      </c>
      <c r="C210" s="2" t="inlineStr">
        <is>
          <t>Anexa 2 - Declaratia unică.docx</t>
        </is>
      </c>
      <c r="D210" s="2" t="inlineStr">
        <is>
          <t>.docx</t>
        </is>
      </c>
      <c r="E210" s="2" t="n">
        <v>41645</v>
      </c>
      <c r="F210" s="2" t="inlineStr">
        <is>
          <t>2026-07-30T16:56:27</t>
        </is>
      </c>
      <c r="G210" s="2" t="inlineStr">
        <is>
          <t>text Word integral</t>
        </is>
      </c>
      <c r="H210" s="2" t="inlineStr"/>
    </row>
    <row r="211">
      <c r="A211" s="2" t="inlineStr">
        <is>
          <t>\\192.168.100.169\Comun\00. Proiecte 2026 - SCRIEM</t>
        </is>
      </c>
      <c r="B211" s="2" t="inlineStr">
        <is>
          <t>\\192.168.100.169\Comun\00. Proiecte 2026 - SCRIEM\2026.09.30 Acțiunea 2.1 POCIDIF\P1. SRM DESIGN SRL\03. Documente oficiale apel si modele anexe\Anexa 3- Plan monitorizare.docx</t>
        </is>
      </c>
      <c r="C211" s="2" t="inlineStr">
        <is>
          <t>Anexa 3- Plan monitorizare.docx</t>
        </is>
      </c>
      <c r="D211" s="2" t="inlineStr">
        <is>
          <t>.docx</t>
        </is>
      </c>
      <c r="E211" s="2" t="n">
        <v>34665</v>
      </c>
      <c r="F211" s="2" t="inlineStr">
        <is>
          <t>2026-07-30T16:56:28</t>
        </is>
      </c>
      <c r="G211" s="2" t="inlineStr">
        <is>
          <t>text Word integral</t>
        </is>
      </c>
      <c r="H211" s="2" t="inlineStr"/>
    </row>
    <row r="212">
      <c r="A212" s="2" t="inlineStr">
        <is>
          <t>\\192.168.100.169\Comun\00. Proiecte 2026 - SCRIEM</t>
        </is>
      </c>
      <c r="B212" s="2" t="inlineStr">
        <is>
          <t>\\192.168.100.169\Comun\00. Proiecte 2026 - SCRIEM\2026.09.30 Acțiunea 2.1 POCIDIF\P1. SRM DESIGN SRL\03. Documente oficiale apel si modele anexe\Anexa 5 - Model Declaratie eligibilitate TVA.doc</t>
        </is>
      </c>
      <c r="C212" s="2" t="inlineStr">
        <is>
          <t>Anexa 5 - Model Declaratie eligibilitate TVA.doc</t>
        </is>
      </c>
      <c r="D212" s="2" t="inlineStr">
        <is>
          <t>.doc</t>
        </is>
      </c>
      <c r="E212" s="2" t="n">
        <v>273408</v>
      </c>
      <c r="F212" s="2" t="inlineStr">
        <is>
          <t>2026-07-16T13:50:49</t>
        </is>
      </c>
      <c r="G212" s="2" t="inlineStr">
        <is>
          <t>format non analysé</t>
        </is>
      </c>
      <c r="H212" s="2" t="inlineStr"/>
    </row>
    <row r="213">
      <c r="A213" s="2" t="inlineStr">
        <is>
          <t>\\192.168.100.169\Comun\00. Proiecte 2026 - SCRIEM</t>
        </is>
      </c>
      <c r="B213" s="2" t="inlineStr">
        <is>
          <t>\\192.168.100.169\Comun\00. Proiecte 2026 - SCRIEM\2026.09.30 Acțiunea 2.1 POCIDIF\P1. SRM DESIGN SRL\03. Documente oficiale apel si modele anexe\Anexa 8 - Model Declaratie conflict de interese echipa proiect.docx</t>
        </is>
      </c>
      <c r="C213" s="2" t="inlineStr">
        <is>
          <t>Anexa 8 - Model Declaratie conflict de interese echipa proiect.docx</t>
        </is>
      </c>
      <c r="D213" s="2" t="inlineStr">
        <is>
          <t>.docx</t>
        </is>
      </c>
      <c r="E213" s="2" t="n">
        <v>218096</v>
      </c>
      <c r="F213" s="2" t="inlineStr">
        <is>
          <t>2026-07-30T16:56:28</t>
        </is>
      </c>
      <c r="G213" s="2" t="inlineStr">
        <is>
          <t>text Word integral</t>
        </is>
      </c>
      <c r="H213" s="2" t="inlineStr"/>
    </row>
    <row r="214">
      <c r="A214" s="2" t="inlineStr">
        <is>
          <t>\\192.168.100.169\Comun\00. Proiecte 2026 - SCRIEM</t>
        </is>
      </c>
      <c r="B214" s="2" t="inlineStr">
        <is>
          <t>\\192.168.100.169\Comun\00. Proiecte 2026 - SCRIEM\2026.09.30 Acțiunea 2.1 POCIDIF\P1. SRM DESIGN SRL\04. Locatie de implementare\contract_comodat_nr_1_01072026s.pdf</t>
        </is>
      </c>
      <c r="C214" s="2" t="inlineStr">
        <is>
          <t>contract_comodat_nr_1_01072026s.pdf</t>
        </is>
      </c>
      <c r="D214" s="2" t="inlineStr">
        <is>
          <t>.pdf</t>
        </is>
      </c>
      <c r="E214" s="2" t="n">
        <v>401948</v>
      </c>
      <c r="F214" s="2" t="inlineStr">
        <is>
          <t>2026-07-30T17:49:16</t>
        </is>
      </c>
      <c r="G214" s="2" t="inlineStr">
        <is>
          <t>text PDF integral</t>
        </is>
      </c>
      <c r="H214" s="2" t="inlineStr"/>
    </row>
    <row r="215">
      <c r="A215" s="2" t="inlineStr">
        <is>
          <t>\\192.168.100.169\Comun\00. Proiecte 2026 - SCRIEM</t>
        </is>
      </c>
      <c r="B215" s="2" t="inlineStr">
        <is>
          <t>\\192.168.100.169\Comun\00. Proiecte 2026 - SCRIEM\2026.09.30 Acțiunea 2.1 POCIDIF\P1. SRM DESIGN SRL\04. Locatie de implementare\DanCorProiect CF75174 AB Decizie.pdf</t>
        </is>
      </c>
      <c r="C215" s="2" t="inlineStr">
        <is>
          <t>DanCorProiect CF75174 AB Decizie.pdf</t>
        </is>
      </c>
      <c r="D215" s="2" t="inlineStr">
        <is>
          <t>.pdf</t>
        </is>
      </c>
      <c r="E215" s="2" t="n">
        <v>4953108</v>
      </c>
      <c r="F215" s="2" t="inlineStr">
        <is>
          <t>2026-07-11T11:29:49</t>
        </is>
      </c>
      <c r="G215" s="2" t="inlineStr">
        <is>
          <t>PDF fără text extractibil; OCR necesar</t>
        </is>
      </c>
      <c r="H215" s="2" t="inlineStr"/>
    </row>
    <row r="216">
      <c r="A216" s="2" t="inlineStr">
        <is>
          <t>\\192.168.100.169\Comun\00. Proiecte 2026 - SCRIEM</t>
        </is>
      </c>
      <c r="B216" s="2" t="inlineStr">
        <is>
          <t>\\192.168.100.169\Comun\00. Proiecte 2026 - SCRIEM\2026.09.30 Acțiunea 2.1 POCIDIF\P1. SRM DESIGN SRL\04. Locatie de implementare\DanCorProiect CF75174 AB.pdf</t>
        </is>
      </c>
      <c r="C216" s="2" t="inlineStr">
        <is>
          <t>DanCorProiect CF75174 AB.pdf</t>
        </is>
      </c>
      <c r="D216" s="2" t="inlineStr">
        <is>
          <t>.pdf</t>
        </is>
      </c>
      <c r="E216" s="2" t="n">
        <v>2775240</v>
      </c>
      <c r="F216" s="2" t="inlineStr">
        <is>
          <t>2026-07-11T11:29:49</t>
        </is>
      </c>
      <c r="G216" s="2" t="inlineStr">
        <is>
          <t>PDF fără text extractibil; OCR necesar</t>
        </is>
      </c>
      <c r="H216" s="2" t="inlineStr"/>
    </row>
    <row r="217">
      <c r="A217" s="2" t="inlineStr">
        <is>
          <t>\\192.168.100.169\Comun\00. Proiecte 2026 - SCRIEM</t>
        </is>
      </c>
      <c r="B217" s="2" t="inlineStr">
        <is>
          <t>\\192.168.100.169\Comun\00. Proiecte 2026 - SCRIEM\2026.09.30 Acțiunea 2.1 POCIDIF\P1. SRM DESIGN SRL\04. Locatie de implementare\Devize pe obiecte - renovare hala.xlsx</t>
        </is>
      </c>
      <c r="C217" s="2" t="inlineStr">
        <is>
          <t>Devize pe obiecte - renovare hala.xlsx</t>
        </is>
      </c>
      <c r="D217" s="2" t="inlineStr">
        <is>
          <t>.xlsx</t>
        </is>
      </c>
      <c r="E217" s="2" t="n">
        <v>26089</v>
      </c>
      <c r="F217" s="2" t="inlineStr">
        <is>
          <t>2026-07-30T16:56:27</t>
        </is>
      </c>
      <c r="G217" s="2" t="inlineStr">
        <is>
          <t>valori Excel; fără obiecte încorporate</t>
        </is>
      </c>
      <c r="H217" s="2" t="inlineStr"/>
    </row>
    <row r="218">
      <c r="A218" s="2" t="inlineStr">
        <is>
          <t>\\192.168.100.169\Comun\00. Proiecte 2026 - SCRIEM</t>
        </is>
      </c>
      <c r="B218" s="2" t="inlineStr">
        <is>
          <t>\\192.168.100.169\Comun\00. Proiecte 2026 - SCRIEM\2026.09.30 Acțiunea 2.1 POCIDIF\P1. SRM DESIGN SRL\05. Autorizatii si avize\_Ce contine acest capitol.txt</t>
        </is>
      </c>
      <c r="C218" s="2" t="inlineStr">
        <is>
          <t>_Ce contine acest capitol.txt</t>
        </is>
      </c>
      <c r="D218" s="2" t="inlineStr">
        <is>
          <t>.txt</t>
        </is>
      </c>
      <c r="E218" s="2" t="n">
        <v>320</v>
      </c>
      <c r="F218" s="2" t="inlineStr">
        <is>
          <t>2026-07-30T17:07:41</t>
        </is>
      </c>
      <c r="G218" s="2" t="inlineStr">
        <is>
          <t>text integral</t>
        </is>
      </c>
      <c r="H218" s="2" t="inlineStr"/>
    </row>
    <row r="219">
      <c r="A219" s="2" t="inlineStr">
        <is>
          <t>\\192.168.100.169\Comun\00. Proiecte 2026 - SCRIEM</t>
        </is>
      </c>
      <c r="B219" s="2" t="inlineStr">
        <is>
          <t>\\192.168.100.169\Comun\00. Proiecte 2026 - SCRIEM\2026.09.30 Acțiunea 2.1 POCIDIF\P1. SRM DESIGN SRL\10. Surse si analize tehnice\EVA - 2 pachete echipamente Laborator.docx</t>
        </is>
      </c>
      <c r="C219" s="2" t="inlineStr">
        <is>
          <t>EVA - 2 pachete echipamente Laborator.docx</t>
        </is>
      </c>
      <c r="D219" s="2" t="inlineStr">
        <is>
          <t>.docx</t>
        </is>
      </c>
      <c r="E219" s="2" t="n">
        <v>39661</v>
      </c>
      <c r="F219" s="2" t="inlineStr">
        <is>
          <t>2026-07-30T16:56:23</t>
        </is>
      </c>
      <c r="G219" s="2" t="inlineStr">
        <is>
          <t>text Word integral</t>
        </is>
      </c>
      <c r="H219" s="2" t="inlineStr"/>
    </row>
    <row r="220">
      <c r="A220" s="2" t="inlineStr">
        <is>
          <t>\\192.168.100.169\Comun\00. Proiecte 2026 - SCRIEM</t>
        </is>
      </c>
      <c r="B220" s="2" t="inlineStr">
        <is>
          <t>\\192.168.100.169\Comun\00. Proiecte 2026 - SCRIEM\2026.09.30 Acțiunea 2.1 POCIDIF\P1. SRM DESIGN SRL\10. Surse si analize tehnice\EVA Analiză tehnică conectare 2 Sony-Thor.docx</t>
        </is>
      </c>
      <c r="C220" s="2" t="inlineStr">
        <is>
          <t>EVA Analiză tehnică conectare 2 Sony-Thor.docx</t>
        </is>
      </c>
      <c r="D220" s="2" t="inlineStr">
        <is>
          <t>.docx</t>
        </is>
      </c>
      <c r="E220" s="2" t="n">
        <v>24557</v>
      </c>
      <c r="F220" s="2" t="inlineStr">
        <is>
          <t>2026-07-30T16:56:24</t>
        </is>
      </c>
      <c r="G220" s="2" t="inlineStr">
        <is>
          <t>text Word integral</t>
        </is>
      </c>
      <c r="H220" s="2" t="inlineStr"/>
    </row>
    <row r="221">
      <c r="A221" s="2" t="inlineStr">
        <is>
          <t>\\192.168.100.169\Comun\00. Proiecte 2026 - SCRIEM</t>
        </is>
      </c>
      <c r="B221" s="2" t="inlineStr">
        <is>
          <t>\\192.168.100.169\Comun\00. Proiecte 2026 - SCRIEM\2026.09.30 Acțiunea 2.1 POCIDIF\P1. SRM DESIGN SRL\10. Surse si analize tehnice\EVA Analiză tehnică pentru conectarea a două camere Sony la Thor pentru stereo vision cu latență minimă.docx</t>
        </is>
      </c>
      <c r="C221" s="2" t="inlineStr">
        <is>
          <t>EVA Analiză tehnică pentru conectarea a două camere Sony la Thor pentru stereo vision cu latență minimă.docx</t>
        </is>
      </c>
      <c r="D221" s="2" t="inlineStr">
        <is>
          <t>.docx</t>
        </is>
      </c>
      <c r="E221" s="2" t="n">
        <v>21572</v>
      </c>
      <c r="F221" s="2" t="inlineStr">
        <is>
          <t>2026-07-30T16:56:24</t>
        </is>
      </c>
      <c r="G221" s="2" t="inlineStr">
        <is>
          <t>text Word integral</t>
        </is>
      </c>
      <c r="H221" s="2" t="inlineStr"/>
    </row>
    <row r="222">
      <c r="A222" s="2" t="inlineStr">
        <is>
          <t>\\192.168.100.169\Comun\00. Proiecte 2026 - SCRIEM</t>
        </is>
      </c>
      <c r="B222" s="2" t="inlineStr">
        <is>
          <t>\\192.168.100.169\Comun\00. Proiecte 2026 - SCRIEM\2026.09.30 Acțiunea 2.1 POCIDIF\P1. SRM DESIGN SRL\10. Surse si analize tehnice\EVA Produs hardware inovativ complet nou - Evaluare.docx</t>
        </is>
      </c>
      <c r="C222" s="2" t="inlineStr">
        <is>
          <t>EVA Produs hardware inovativ complet nou - Evaluare.docx</t>
        </is>
      </c>
      <c r="D222" s="2" t="inlineStr">
        <is>
          <t>.docx</t>
        </is>
      </c>
      <c r="E222" s="2" t="n">
        <v>31541</v>
      </c>
      <c r="F222" s="2" t="inlineStr">
        <is>
          <t>2026-07-30T16:56:24</t>
        </is>
      </c>
      <c r="G222" s="2" t="inlineStr">
        <is>
          <t>text Word integral</t>
        </is>
      </c>
      <c r="H222" s="2" t="inlineStr"/>
    </row>
    <row r="223">
      <c r="A223" s="2" t="inlineStr">
        <is>
          <t>\\192.168.100.169\Comun\00. Proiecte 2026 - SCRIEM</t>
        </is>
      </c>
      <c r="B223" s="2" t="inlineStr">
        <is>
          <t>\\192.168.100.169\Comun\00. Proiecte 2026 - SCRIEM\2026.09.30 Acțiunea 2.1 POCIDIF\P1. SRM DESIGN SRL\10. Surse si analize tehnice\Executive Summary.pdf</t>
        </is>
      </c>
      <c r="C223" s="2" t="inlineStr">
        <is>
          <t>Executive Summary.pdf</t>
        </is>
      </c>
      <c r="D223" s="2" t="inlineStr">
        <is>
          <t>.pdf</t>
        </is>
      </c>
      <c r="E223" s="2" t="n">
        <v>128342</v>
      </c>
      <c r="F223" s="2" t="inlineStr">
        <is>
          <t>2026-07-07T20:19:17</t>
        </is>
      </c>
      <c r="G223" s="2" t="inlineStr">
        <is>
          <t>text PDF integral</t>
        </is>
      </c>
      <c r="H223" s="2" t="inlineStr"/>
    </row>
    <row r="224">
      <c r="A224" s="2" t="inlineStr">
        <is>
          <t>\\192.168.100.169\Comun\00. Proiecte 2026 - SCRIEM</t>
        </is>
      </c>
      <c r="B224" s="2" t="inlineStr">
        <is>
          <t>\\192.168.100.169\Comun\00. Proiecte 2026 - SCRIEM\2026.09.30 Acțiunea 2.1 POCIDIF\P1. SRM DESIGN SRL\10. Surse si analize tehnice\Rezumat executiv.docx</t>
        </is>
      </c>
      <c r="C224" s="2" t="inlineStr">
        <is>
          <t>Rezumat executiv.docx</t>
        </is>
      </c>
      <c r="D224" s="2" t="inlineStr">
        <is>
          <t>.docx</t>
        </is>
      </c>
      <c r="E224" s="2" t="n">
        <v>59893</v>
      </c>
      <c r="F224" s="2" t="inlineStr">
        <is>
          <t>2026-07-30T16:56:24</t>
        </is>
      </c>
      <c r="G224" s="2" t="inlineStr">
        <is>
          <t>text Word integral</t>
        </is>
      </c>
      <c r="H224" s="2" t="inlineStr"/>
    </row>
    <row r="225">
      <c r="A225" s="2" t="inlineStr">
        <is>
          <t>\\192.168.100.169\Comun\00. Proiecte 2026 - SCRIEM</t>
        </is>
      </c>
      <c r="B225" s="2" t="inlineStr">
        <is>
          <t>\\192.168.100.169\Comun\00. Proiecte 2026 - SCRIEM\2026.09.30 Acțiunea 2.1 POCIDIF\P1. SRM DESIGN SRL\10. Surse si analize tehnice\Rezumat executiv.pdf</t>
        </is>
      </c>
      <c r="C225" s="2" t="inlineStr">
        <is>
          <t>Rezumat executiv.pdf</t>
        </is>
      </c>
      <c r="D225" s="2" t="inlineStr">
        <is>
          <t>.pdf</t>
        </is>
      </c>
      <c r="E225" s="2" t="n">
        <v>166064</v>
      </c>
      <c r="F225" s="2" t="inlineStr">
        <is>
          <t>2026-07-07T20:48:10</t>
        </is>
      </c>
      <c r="G225" s="2" t="inlineStr">
        <is>
          <t>text PDF integral</t>
        </is>
      </c>
      <c r="H225" s="2" t="inlineStr"/>
    </row>
    <row r="226">
      <c r="A226" s="2" t="inlineStr">
        <is>
          <t>\\192.168.100.169\Comun\00. Proiecte 2026 - SCRIEM</t>
        </is>
      </c>
      <c r="B226" s="2" t="inlineStr">
        <is>
          <t>\\192.168.100.169\Comun\00. Proiecte 2026 - SCRIEM\2026.09.30 Acțiunea 2.1 POCIDIF\P1. SRM DESIGN SRL\10. Surse si analize tehnice\Studiu de piață și competitori pentru proiectul EVA.docx</t>
        </is>
      </c>
      <c r="C226" s="2" t="inlineStr">
        <is>
          <t>Studiu de piață și competitori pentru proiectul EVA.docx</t>
        </is>
      </c>
      <c r="D226" s="2" t="inlineStr">
        <is>
          <t>.docx</t>
        </is>
      </c>
      <c r="E226" s="2" t="n">
        <v>21378</v>
      </c>
      <c r="F226" s="2" t="inlineStr">
        <is>
          <t>2026-07-30T16:56:24</t>
        </is>
      </c>
      <c r="G226" s="2" t="inlineStr">
        <is>
          <t>text Word integral</t>
        </is>
      </c>
      <c r="H226" s="2" t="inlineStr"/>
    </row>
    <row r="227">
      <c r="A227" s="2" t="inlineStr">
        <is>
          <t>\\192.168.100.169\Comun\00. Proiecte 2026 - SCRIEM</t>
        </is>
      </c>
      <c r="B227" s="2" t="inlineStr">
        <is>
          <t>\\192.168.100.169\Comun\00. Proiecte 2026 - SCRIEM\2026.09.30 Acțiunea 2.1 POCIDIF\P1. SRM DESIGN SRL\10. Surse si analize tehnice\Studiu de piață și competitori – Proiectul EVA (Empathic Virtual Assistant).docx</t>
        </is>
      </c>
      <c r="C227" s="2" t="inlineStr">
        <is>
          <t>Studiu de piață și competitori – Proiectul EVA (Empathic Virtual Assistant).docx</t>
        </is>
      </c>
      <c r="D227" s="2" t="inlineStr">
        <is>
          <t>.docx</t>
        </is>
      </c>
      <c r="E227" s="2" t="n">
        <v>80143</v>
      </c>
      <c r="F227" s="2" t="inlineStr">
        <is>
          <t>2026-07-30T16:56:24</t>
        </is>
      </c>
      <c r="G227" s="2" t="inlineStr">
        <is>
          <t>text Word integral</t>
        </is>
      </c>
      <c r="H227" s="2" t="inlineStr"/>
    </row>
    <row r="228">
      <c r="A228" s="2" t="inlineStr">
        <is>
          <t>\\192.168.100.169\Comun\00. Proiecte 2026 - SCRIEM</t>
        </is>
      </c>
      <c r="B228" s="2" t="inlineStr">
        <is>
          <t>\\192.168.100.169\Comun\00. Proiecte 2026 - SCRIEM\2026.09.30 Acțiunea 2.1 POCIDIF\P1. SRM DESIGN SRL\10. Surse si analize tehnice\Studiu de piață și competitori – Proiectul EVA (Empathic Virtual Assistant).pdf</t>
        </is>
      </c>
      <c r="C228" s="2" t="inlineStr">
        <is>
          <t>Studiu de piață și competitori – Proiectul EVA (Empathic Virtual Assistant).pdf</t>
        </is>
      </c>
      <c r="D228" s="2" t="inlineStr">
        <is>
          <t>.pdf</t>
        </is>
      </c>
      <c r="E228" s="2" t="n">
        <v>119396</v>
      </c>
      <c r="F228" s="2" t="inlineStr">
        <is>
          <t>2026-07-07T20:24:26</t>
        </is>
      </c>
      <c r="G228" s="2" t="inlineStr">
        <is>
          <t>text PDF integral</t>
        </is>
      </c>
      <c r="H228" s="2" t="inlineStr"/>
    </row>
    <row r="229">
      <c r="A229" s="2" t="inlineStr">
        <is>
          <t>\\192.168.100.169\Comun\00. Proiecte 2026 - SCRIEM</t>
        </is>
      </c>
      <c r="B229" s="2" t="inlineStr">
        <is>
          <t>\\192.168.100.169\Comun\00. Proiecte 2026 - SCRIEM\2026.09.30 Acțiunea 2.1 POCIDIF\P1. SRM DESIGN SRL\11. Analize eligibilitate si audit\EVA - Analiză eligibilitate și roadmap PoCIDIF 2.1.docx</t>
        </is>
      </c>
      <c r="C229" s="2" t="inlineStr">
        <is>
          <t>EVA - Analiză eligibilitate și roadmap PoCIDIF 2.1.docx</t>
        </is>
      </c>
      <c r="D229" s="2" t="inlineStr">
        <is>
          <t>.docx</t>
        </is>
      </c>
      <c r="E229" s="2" t="n">
        <v>19076</v>
      </c>
      <c r="F229" s="2" t="inlineStr">
        <is>
          <t>2026-07-30T16:56:24</t>
        </is>
      </c>
      <c r="G229" s="2" t="inlineStr">
        <is>
          <t>text Word integral</t>
        </is>
      </c>
      <c r="H229" s="2" t="inlineStr"/>
    </row>
    <row r="230">
      <c r="A230" s="2" t="inlineStr">
        <is>
          <t>\\192.168.100.169\Comun\00. Proiecte 2026 - SCRIEM</t>
        </is>
      </c>
      <c r="B230" s="2" t="inlineStr">
        <is>
          <t>\\192.168.100.169\Comun\00. Proiecte 2026 - SCRIEM\2026.09.30 Acțiunea 2.1 POCIDIF\P1. SRM DESIGN SRL\11. Analize eligibilitate si audit\EVA - Audit si propuneri buget PoCIDIF 2.1.docx</t>
        </is>
      </c>
      <c r="C230" s="2" t="inlineStr">
        <is>
          <t>EVA - Audit si propuneri buget PoCIDIF 2.1.docx</t>
        </is>
      </c>
      <c r="D230" s="2" t="inlineStr">
        <is>
          <t>.docx</t>
        </is>
      </c>
      <c r="E230" s="2" t="n">
        <v>18780</v>
      </c>
      <c r="F230" s="2" t="inlineStr">
        <is>
          <t>2026-07-30T16:56:24</t>
        </is>
      </c>
      <c r="G230" s="2" t="inlineStr">
        <is>
          <t>text Word integral</t>
        </is>
      </c>
      <c r="H230" s="2" t="inlineStr"/>
    </row>
    <row r="231">
      <c r="A231" s="2" t="inlineStr">
        <is>
          <t>\\192.168.100.169\Comun\00. Proiecte 2026 - SCRIEM</t>
        </is>
      </c>
      <c r="B231" s="2" t="inlineStr">
        <is>
          <t>\\192.168.100.169\Comun\00. Proiecte 2026 - SCRIEM\2026.09.30 Acțiunea 2.1 POCIDIF\P1. SRM DESIGN SRL\11. Analize eligibilitate si audit\EVA - Evaluare, punctaj si mapare MySMIS.xlsx</t>
        </is>
      </c>
      <c r="C231" s="2" t="inlineStr">
        <is>
          <t>EVA - Evaluare, punctaj si mapare MySMIS.xlsx</t>
        </is>
      </c>
      <c r="D231" s="2" t="inlineStr">
        <is>
          <t>.xlsx</t>
        </is>
      </c>
      <c r="E231" s="2" t="n">
        <v>11770</v>
      </c>
      <c r="F231" s="2" t="inlineStr">
        <is>
          <t>2026-07-30T16:56:24</t>
        </is>
      </c>
      <c r="G231" s="2" t="inlineStr">
        <is>
          <t>valori Excel; fără obiecte încorporate</t>
        </is>
      </c>
      <c r="H231" s="2" t="inlineStr"/>
    </row>
    <row r="232">
      <c r="A232" s="2" t="inlineStr">
        <is>
          <t>\\192.168.100.169\Comun\00. Proiecte 2026 - SCRIEM</t>
        </is>
      </c>
      <c r="B232" s="2" t="inlineStr">
        <is>
          <t>\\192.168.100.169\Comun\00. Proiecte 2026 - SCRIEM\2026.09.30 Acțiunea 2.1 POCIDIF\P1. SRM DESIGN SRL\11. Analize eligibilitate si audit\EVA - Raport audit buget PoCIDIF 2.1.docx</t>
        </is>
      </c>
      <c r="C232" s="2" t="inlineStr">
        <is>
          <t>EVA - Raport audit buget PoCIDIF 2.1.docx</t>
        </is>
      </c>
      <c r="D232" s="2" t="inlineStr">
        <is>
          <t>.docx</t>
        </is>
      </c>
      <c r="E232" s="2" t="n">
        <v>19054</v>
      </c>
      <c r="F232" s="2" t="inlineStr">
        <is>
          <t>2026-07-30T16:56:24</t>
        </is>
      </c>
      <c r="G232" s="2" t="inlineStr">
        <is>
          <t>text Word integral</t>
        </is>
      </c>
      <c r="H232" s="2" t="inlineStr"/>
    </row>
    <row r="233">
      <c r="A233" s="2" t="inlineStr">
        <is>
          <t>\\192.168.100.169\Comun\00. Proiecte 2026 - SCRIEM</t>
        </is>
      </c>
      <c r="B233" s="2" t="inlineStr">
        <is>
          <t>\\192.168.100.169\Comun\00. Proiecte 2026 - SCRIEM\2026.09.30 Acțiunea 2.1 POCIDIF\P1. SRM DESIGN SRL\11. Analize eligibilitate si audit\EVA_Restructurare_CDI_Regional.xlsx</t>
        </is>
      </c>
      <c r="C233" s="2" t="inlineStr">
        <is>
          <t>EVA_Restructurare_CDI_Regional.xlsx</t>
        </is>
      </c>
      <c r="D233" s="2" t="inlineStr">
        <is>
          <t>.xlsx</t>
        </is>
      </c>
      <c r="E233" s="2" t="n">
        <v>13702</v>
      </c>
      <c r="F233" s="2" t="inlineStr">
        <is>
          <t>2026-07-30T16:56:24</t>
        </is>
      </c>
      <c r="G233" s="2" t="inlineStr">
        <is>
          <t>valori Excel; fără obiecte încorporate</t>
        </is>
      </c>
      <c r="H233" s="2" t="inlineStr"/>
    </row>
    <row r="234">
      <c r="A234" s="2" t="inlineStr">
        <is>
          <t>\\192.168.100.169\Comun\00. Proiecte 2026 - SCRIEM</t>
        </is>
      </c>
      <c r="B234" s="2" t="inlineStr">
        <is>
          <t>\\192.168.100.169\Comun\00. Proiecte 2026 - SCRIEM\2026.09.30 Acțiunea 2.1 POCIDIF\P1. SRM DESIGN SRL\12. Buget si proiectii financiare\Cluster HPC - fise tehnice echipamente.xlsx</t>
        </is>
      </c>
      <c r="C234" s="2" t="inlineStr">
        <is>
          <t>Cluster HPC - fise tehnice echipamente.xlsx</t>
        </is>
      </c>
      <c r="D234" s="2" t="inlineStr">
        <is>
          <t>.xlsx</t>
        </is>
      </c>
      <c r="E234" s="2" t="n">
        <v>22091</v>
      </c>
      <c r="F234" s="2" t="inlineStr">
        <is>
          <t>2026-07-30T16:56:25</t>
        </is>
      </c>
      <c r="G234" s="2" t="inlineStr">
        <is>
          <t>valori Excel; fără obiecte încorporate</t>
        </is>
      </c>
      <c r="H234" s="2" t="inlineStr">
        <is>
          <t xml:space="preserve"> ofertare. Prețuri estimative, fără TVA. Necesare 2 oferte (Anexa 7). KIT-URI NVIDIA JETSON AGX THOR (testare edge)  Buget alocat 30.000 €  ·  Ajutor regional 70% Model(e) recomandat(e) NVIDIA Jetson AGX Thor Developer Kit (3 buc) Producători / furnizori (2 oferte) NVIDIA, Arrow, SEEED, Silicon Highway Rol în cluster Testarea </t>
        </is>
      </c>
    </row>
    <row r="235">
      <c r="A235" s="2" t="inlineStr">
        <is>
          <t>\\192.168.100.169\Comun\00. Proiecte 2026 - SCRIEM</t>
        </is>
      </c>
      <c r="B235" s="2" t="inlineStr">
        <is>
          <t>\\192.168.100.169\Comun\00. Proiecte 2026 - SCRIEM\2026.09.30 Acțiunea 2.1 POCIDIF\P1. SRM DESIGN SRL\12. Buget si proiectii financiare\EVA-Agri_Buget_600k_salarii (robot cules capsuni-rosii).xlsx</t>
        </is>
      </c>
      <c r="C235" s="2" t="inlineStr">
        <is>
          <t>EVA-Agri_Buget_600k_salarii (robot cules capsuni-rosii).xlsx</t>
        </is>
      </c>
      <c r="D235" s="2" t="inlineStr">
        <is>
          <t>.xlsx</t>
        </is>
      </c>
      <c r="E235" s="2" t="n">
        <v>9247</v>
      </c>
      <c r="F235" s="2" t="inlineStr">
        <is>
          <t>2026-08-12T17:49:42</t>
        </is>
      </c>
      <c r="G235" s="2" t="inlineStr">
        <is>
          <t>valori Excel; fără obiecte încorporate</t>
        </is>
      </c>
      <c r="H235" s="2" t="inlineStr"/>
    </row>
    <row r="236">
      <c r="A236" s="2" t="inlineStr">
        <is>
          <t>\\192.168.100.169\Comun\00. Proiecte 2026 - SCRIEM</t>
        </is>
      </c>
      <c r="B236" s="2" t="inlineStr">
        <is>
          <t>\\192.168.100.169\Comun\00. Proiecte 2026 - SCRIEM\2026.09.30 Acțiunea 2.1 POCIDIF\P1. SRM DESIGN SRL\12. Buget si proiectii financiare\EVA_Buget_500k_2versiuni (minimis max, cofin 20%).xlsx</t>
        </is>
      </c>
      <c r="C236" s="2" t="inlineStr">
        <is>
          <t>EVA_Buget_500k_2versiuni (minimis max, cofin 20%).xlsx</t>
        </is>
      </c>
      <c r="D236" s="2" t="inlineStr">
        <is>
          <t>.xlsx</t>
        </is>
      </c>
      <c r="E236" s="2" t="n">
        <v>10542</v>
      </c>
      <c r="F236" s="2" t="inlineStr">
        <is>
          <t>2026-08-12T17:28:36</t>
        </is>
      </c>
      <c r="G236" s="2" t="inlineStr">
        <is>
          <t>valori Excel; fără obiecte încorporate</t>
        </is>
      </c>
      <c r="H236" s="2" t="inlineStr"/>
    </row>
    <row r="237">
      <c r="A237" s="2" t="inlineStr">
        <is>
          <t>\\192.168.100.169\Comun\00. Proiecte 2026 - SCRIEM</t>
        </is>
      </c>
      <c r="B237" s="2" t="inlineStr">
        <is>
          <t>\\192.168.100.169\Comun\00. Proiecte 2026 - SCRIEM\2026.09.30 Acțiunea 2.1 POCIDIF\P1. SRM DESIGN SRL\12. Buget si proiectii financiare\EVA_Buget_FINAL.xlsx</t>
        </is>
      </c>
      <c r="C237" s="2" t="inlineStr">
        <is>
          <t>EVA_Buget_FINAL.xlsx</t>
        </is>
      </c>
      <c r="D237" s="2" t="inlineStr">
        <is>
          <t>.xlsx</t>
        </is>
      </c>
      <c r="E237" s="2" t="n">
        <v>13876</v>
      </c>
      <c r="F237" s="2" t="inlineStr">
        <is>
          <t>2026-07-30T16:56:25</t>
        </is>
      </c>
      <c r="G237" s="2" t="inlineStr">
        <is>
          <t>valori Excel; fără obiecte încorporate</t>
        </is>
      </c>
      <c r="H237" s="2" t="inlineStr"/>
    </row>
    <row r="238">
      <c r="A238" s="2" t="inlineStr">
        <is>
          <t>\\192.168.100.169\Comun\00. Proiecte 2026 - SCRIEM</t>
        </is>
      </c>
      <c r="B238" s="2" t="inlineStr">
        <is>
          <t>\\192.168.100.169\Comun\00. Proiecte 2026 - SCRIEM\2026.09.30 Acțiunea 2.1 POCIDIF\P1. SRM DESIGN SRL\12. Buget si proiectii financiare\Linie productie roboti - fise tehnice utilaje.xlsx</t>
        </is>
      </c>
      <c r="C238" s="2" t="inlineStr">
        <is>
          <t>Linie productie roboti - fise tehnice utilaje.xlsx</t>
        </is>
      </c>
      <c r="D238" s="2" t="inlineStr">
        <is>
          <t>.xlsx</t>
        </is>
      </c>
      <c r="E238" s="2" t="n">
        <v>37052</v>
      </c>
      <c r="F238" s="2" t="inlineStr">
        <is>
          <t>2026-07-30T16:56:25</t>
        </is>
      </c>
      <c r="G238" s="2" t="inlineStr">
        <is>
          <t>valori Excel; fără obiecte încorporate</t>
        </is>
      </c>
      <c r="H238" s="2" t="inlineStr"/>
    </row>
    <row r="239">
      <c r="A239" s="2" t="inlineStr">
        <is>
          <t>\\192.168.100.169\Comun\00. Proiecte 2026 - SCRIEM</t>
        </is>
      </c>
      <c r="B239" s="2" t="inlineStr">
        <is>
          <t>\\192.168.100.169\Comun\00. Proiecte 2026 - SCRIEM\2026.09.30 Acțiunea 2.1 POCIDIF\P1. SRM DESIGN SRL\13. Plan de afaceri\00 - CUPRINS plan de afaceri (structura completa) - CUI 47344051.docx</t>
        </is>
      </c>
      <c r="C239" s="2" t="inlineStr">
        <is>
          <t>00 - CUPRINS plan de afaceri (structura completa) - CUI 47344051.docx</t>
        </is>
      </c>
      <c r="D239" s="2" t="inlineStr">
        <is>
          <t>.docx</t>
        </is>
      </c>
      <c r="E239" s="2" t="n">
        <v>14949</v>
      </c>
      <c r="F239" s="2" t="inlineStr">
        <is>
          <t>2026-07-30T16:56:27</t>
        </is>
      </c>
      <c r="G239" s="2" t="inlineStr">
        <is>
          <t>text Word integral</t>
        </is>
      </c>
      <c r="H239" s="2" t="inlineStr"/>
    </row>
    <row r="240">
      <c r="A240" s="2" t="inlineStr">
        <is>
          <t>\\192.168.100.169\Comun\00. Proiecte 2026 - SCRIEM</t>
        </is>
      </c>
      <c r="B240" s="2" t="inlineStr">
        <is>
          <t>\\192.168.100.169\Comun\00. Proiecte 2026 - SCRIEM\2026.09.30 Acțiunea 2.1 POCIDIF\P1. SRM DESIGN SRL\13. Plan de afaceri\01 - Intrebari + verdict Partea I (A-B) - CUI 47344051.docx</t>
        </is>
      </c>
      <c r="C240" s="2" t="inlineStr">
        <is>
          <t>01 - Intrebari + verdict Partea I (A-B) - CUI 47344051.docx</t>
        </is>
      </c>
      <c r="D240" s="2" t="inlineStr">
        <is>
          <t>.docx</t>
        </is>
      </c>
      <c r="E240" s="2" t="n">
        <v>14226</v>
      </c>
      <c r="F240" s="2" t="inlineStr">
        <is>
          <t>2026-08-12T17:03:53</t>
        </is>
      </c>
      <c r="G240" s="2" t="inlineStr">
        <is>
          <t>text Word integral</t>
        </is>
      </c>
      <c r="H240" s="2" t="inlineStr"/>
    </row>
    <row r="241">
      <c r="A241" s="2" t="inlineStr">
        <is>
          <t>\\192.168.100.169\Comun\00. Proiecte 2026 - SCRIEM</t>
        </is>
      </c>
      <c r="B241" s="2" t="inlineStr">
        <is>
          <t>\\192.168.100.169\Comun\00. Proiecte 2026 - SCRIEM\2026.09.30 Acțiunea 2.1 POCIDIF\P1. SRM DESIGN SRL\13. Plan de afaceri\EVA-Agri Plan de afaceri (robot cules capsuni-rosii indoor) - CUI 47344051.docx</t>
        </is>
      </c>
      <c r="C241" s="2" t="inlineStr">
        <is>
          <t>EVA-Agri Plan de afaceri (robot cules capsuni-rosii indoor) - CUI 47344051.docx</t>
        </is>
      </c>
      <c r="D241" s="2" t="inlineStr">
        <is>
          <t>.docx</t>
        </is>
      </c>
      <c r="E241" s="2" t="n">
        <v>18123</v>
      </c>
      <c r="F241" s="2" t="inlineStr">
        <is>
          <t>2026-08-12T18:18:27</t>
        </is>
      </c>
      <c r="G241" s="2" t="inlineStr">
        <is>
          <t>text Word integral</t>
        </is>
      </c>
      <c r="H241" s="2" t="inlineStr">
        <is>
          <t>te: activitate de bază 80% (≥80%) · personal propriu 100% din bază (≥20%) · minimis 100.000 € (≤300.000) · consultanță+management 30.000 € (≤10%). Detaliile pe rol și lună sunt în fișierul de buget „EVA-Agri_Buget_600k_salarii”. D.2 Proiecții de comercializare (după proiect) După atingerea TRL 7, comercializarea începe cu prim</t>
        </is>
      </c>
    </row>
    <row r="242">
      <c r="A242" s="2" t="inlineStr">
        <is>
          <t>\\192.168.100.169\Comun\00. Proiecte 2026 - SCRIEM</t>
        </is>
      </c>
      <c r="B242" s="2" t="inlineStr">
        <is>
          <t>\\192.168.100.169\Comun\00. Proiecte 2026 - SCRIEM\2026.09.30 Acțiunea 2.1 POCIDIF\P1. SRM DESIGN SRL\13. Plan de afaceri\SRM DESIGN - Istoric si infrastructura (Partea I B) - CUI 47344051.docx</t>
        </is>
      </c>
      <c r="C242" s="2" t="inlineStr">
        <is>
          <t>SRM DESIGN - Istoric si infrastructura (Partea I B) - CUI 47344051.docx</t>
        </is>
      </c>
      <c r="D242" s="2" t="inlineStr">
        <is>
          <t>.docx</t>
        </is>
      </c>
      <c r="E242" s="2" t="n">
        <v>12753</v>
      </c>
      <c r="F242" s="2" t="inlineStr">
        <is>
          <t>2026-08-12T18:13:26</t>
        </is>
      </c>
      <c r="G242" s="2" t="inlineStr">
        <is>
          <t>text Word integral</t>
        </is>
      </c>
      <c r="H242" s="2" t="inlineStr"/>
    </row>
    <row r="243">
      <c r="A243" s="2" t="inlineStr">
        <is>
          <t>\\192.168.100.169\Comun\00. Proiecte 2026 - SCRIEM</t>
        </is>
      </c>
      <c r="B243" s="2" t="inlineStr">
        <is>
          <t>\\192.168.100.169\Comun\00. Proiecte 2026 - SCRIEM\2026.09.30 Acțiunea 2.1 POCIDIF\P1. SRM DESIGN SRL\13. Plan de afaceri\0. Arhiva\01 - Intrebari Partea I (v1 fara raspunsuri).docx</t>
        </is>
      </c>
      <c r="C243" s="2" t="inlineStr">
        <is>
          <t>01 - Intrebari Partea I (v1 fara raspunsuri).docx</t>
        </is>
      </c>
      <c r="D243" s="2" t="inlineStr">
        <is>
          <t>.docx</t>
        </is>
      </c>
      <c r="E243" s="2" t="n">
        <v>28462</v>
      </c>
      <c r="F243" s="2" t="inlineStr">
        <is>
          <t>2026-07-30T17:49:47</t>
        </is>
      </c>
      <c r="G243" s="2" t="inlineStr">
        <is>
          <t>text Word integral</t>
        </is>
      </c>
      <c r="H243" s="2" t="inlineStr"/>
    </row>
    <row r="244">
      <c r="A244" s="2" t="inlineStr">
        <is>
          <t>\\192.168.100.169\Comun\00. Proiecte 2026 - SCRIEM</t>
        </is>
      </c>
      <c r="B244" s="2" t="inlineStr">
        <is>
          <t>\\192.168.100.169\Comun\00. Proiecte 2026 - SCRIEM\2026.09.30 Acțiunea 2.1 POCIDIF\P1. SRM DESIGN SRL\14. Documentatii MySMIS (sectiuni narative)\1. Capacitate Solicitant.docx</t>
        </is>
      </c>
      <c r="C244" s="2" t="inlineStr">
        <is>
          <t>1. Capacitate Solicitant.docx</t>
        </is>
      </c>
      <c r="D244" s="2" t="inlineStr">
        <is>
          <t>.docx</t>
        </is>
      </c>
      <c r="E244" s="2" t="n">
        <v>11402</v>
      </c>
      <c r="F244" s="2" t="inlineStr">
        <is>
          <t>2026-07-30T16:56:25</t>
        </is>
      </c>
      <c r="G244" s="2" t="inlineStr">
        <is>
          <t>text Word integral</t>
        </is>
      </c>
      <c r="H244" s="2" t="inlineStr"/>
    </row>
    <row r="245">
      <c r="A245" s="2" t="inlineStr">
        <is>
          <t>\\192.168.100.169\Comun\00. Proiecte 2026 - SCRIEM</t>
        </is>
      </c>
      <c r="B245" s="2" t="inlineStr">
        <is>
          <t>\\192.168.100.169\Comun\00. Proiecte 2026 - SCRIEM\2026.09.30 Acțiunea 2.1 POCIDIF\P1. SRM DESIGN SRL\14. Documentatii MySMIS (sectiuni narative)\10. Maturitate proiect.docx</t>
        </is>
      </c>
      <c r="C245" s="2" t="inlineStr">
        <is>
          <t>10. Maturitate proiect.docx</t>
        </is>
      </c>
      <c r="D245" s="2" t="inlineStr">
        <is>
          <t>.docx</t>
        </is>
      </c>
      <c r="E245" s="2" t="n">
        <v>12065</v>
      </c>
      <c r="F245" s="2" t="inlineStr">
        <is>
          <t>2026-07-30T16:56:25</t>
        </is>
      </c>
      <c r="G245" s="2" t="inlineStr">
        <is>
          <t>text Word integral</t>
        </is>
      </c>
      <c r="H245" s="2" t="inlineStr"/>
    </row>
    <row r="246">
      <c r="A246" s="2" t="inlineStr">
        <is>
          <t>\\192.168.100.169\Comun\00. Proiecte 2026 - SCRIEM</t>
        </is>
      </c>
      <c r="B246" s="2" t="inlineStr">
        <is>
          <t>\\192.168.100.169\Comun\00. Proiecte 2026 - SCRIEM\2026.09.30 Acțiunea 2.1 POCIDIF\P1. SRM DESIGN SRL\14. Documentatii MySMIS (sectiuni narative)\11. Descriere investitie.docx</t>
        </is>
      </c>
      <c r="C246" s="2" t="inlineStr">
        <is>
          <t>11. Descriere investitie.docx</t>
        </is>
      </c>
      <c r="D246" s="2" t="inlineStr">
        <is>
          <t>.docx</t>
        </is>
      </c>
      <c r="E246" s="2" t="n">
        <v>12001</v>
      </c>
      <c r="F246" s="2" t="inlineStr">
        <is>
          <t>2026-07-30T16:56:25</t>
        </is>
      </c>
      <c r="G246" s="2" t="inlineStr">
        <is>
          <t>text Word integral</t>
        </is>
      </c>
      <c r="H246" s="2" t="inlineStr"/>
    </row>
    <row r="247">
      <c r="A247" s="2" t="inlineStr">
        <is>
          <t>\\192.168.100.169\Comun\00. Proiecte 2026 - SCRIEM</t>
        </is>
      </c>
      <c r="B247" s="2" t="inlineStr">
        <is>
          <t>\\192.168.100.169\Comun\00. Proiecte 2026 - SCRIEM\2026.09.30 Acțiunea 2.1 POCIDIF\P1. SRM DESIGN SRL\14. Documentatii MySMIS (sectiuni narative)\12. Documentații tehnico-economice.docx</t>
        </is>
      </c>
      <c r="C247" s="2" t="inlineStr">
        <is>
          <t>12. Documentații tehnico-economice.docx</t>
        </is>
      </c>
      <c r="D247" s="2" t="inlineStr">
        <is>
          <t>.docx</t>
        </is>
      </c>
      <c r="E247" s="2" t="n">
        <v>13543</v>
      </c>
      <c r="F247" s="2" t="inlineStr">
        <is>
          <t>2026-07-30T16:56:25</t>
        </is>
      </c>
      <c r="G247" s="2" t="inlineStr">
        <is>
          <t>text Word integral</t>
        </is>
      </c>
      <c r="H247" s="2" t="inlineStr"/>
    </row>
    <row r="248">
      <c r="A248" s="2" t="inlineStr">
        <is>
          <t>\\192.168.100.169\Comun\00. Proiecte 2026 - SCRIEM</t>
        </is>
      </c>
      <c r="B248" s="2" t="inlineStr">
        <is>
          <t>\\192.168.100.169\Comun\00. Proiecte 2026 - SCRIEM\2026.09.30 Acțiunea 2.1 POCIDIF\P1. SRM DESIGN SRL\14. Documentatii MySMIS (sectiuni narative)\13. Rezultate asteptate.docx</t>
        </is>
      </c>
      <c r="C248" s="2" t="inlineStr">
        <is>
          <t>13. Rezultate asteptate.docx</t>
        </is>
      </c>
      <c r="D248" s="2" t="inlineStr">
        <is>
          <t>.docx</t>
        </is>
      </c>
      <c r="E248" s="2" t="n">
        <v>11776</v>
      </c>
      <c r="F248" s="2" t="inlineStr">
        <is>
          <t>2026-07-30T16:56:25</t>
        </is>
      </c>
      <c r="G248" s="2" t="inlineStr">
        <is>
          <t>text Word integral</t>
        </is>
      </c>
      <c r="H248" s="2" t="inlineStr"/>
    </row>
    <row r="249">
      <c r="A249" s="2" t="inlineStr">
        <is>
          <t>\\192.168.100.169\Comun\00. Proiecte 2026 - SCRIEM</t>
        </is>
      </c>
      <c r="B249" s="2" t="inlineStr">
        <is>
          <t>\\192.168.100.169\Comun\00. Proiecte 2026 - SCRIEM\2026.09.30 Acțiunea 2.1 POCIDIF\P1. SRM DESIGN SRL\14. Documentatii MySMIS (sectiuni narative)\2. Localizare Proiect.docx</t>
        </is>
      </c>
      <c r="C249" s="2" t="inlineStr">
        <is>
          <t>2. Localizare Proiect.docx</t>
        </is>
      </c>
      <c r="D249" s="2" t="inlineStr">
        <is>
          <t>.docx</t>
        </is>
      </c>
      <c r="E249" s="2" t="n">
        <v>12468</v>
      </c>
      <c r="F249" s="2" t="inlineStr">
        <is>
          <t>2026-07-30T16:56:25</t>
        </is>
      </c>
      <c r="G249" s="2" t="inlineStr">
        <is>
          <t>text Word integral</t>
        </is>
      </c>
      <c r="H249" s="2" t="inlineStr"/>
    </row>
    <row r="250">
      <c r="A250" s="2" t="inlineStr">
        <is>
          <t>\\192.168.100.169\Comun\00. Proiecte 2026 - SCRIEM</t>
        </is>
      </c>
      <c r="B250" s="2" t="inlineStr">
        <is>
          <t>\\192.168.100.169\Comun\00. Proiecte 2026 - SCRIEM\2026.09.30 Acțiunea 2.1 POCIDIF\P1. SRM DESIGN SRL\14. Documentatii MySMIS (sectiuni narative)\3. Obiective Proiect (1).docx</t>
        </is>
      </c>
      <c r="C250" s="2" t="inlineStr">
        <is>
          <t>3. Obiective Proiect (1).docx</t>
        </is>
      </c>
      <c r="D250" s="2" t="inlineStr">
        <is>
          <t>.docx</t>
        </is>
      </c>
      <c r="E250" s="2" t="n">
        <v>12496</v>
      </c>
      <c r="F250" s="2" t="inlineStr">
        <is>
          <t>2026-07-30T16:56:25</t>
        </is>
      </c>
      <c r="G250" s="2" t="inlineStr">
        <is>
          <t>text Word integral</t>
        </is>
      </c>
      <c r="H250" s="2" t="inlineStr"/>
    </row>
    <row r="251">
      <c r="A251" s="2" t="inlineStr">
        <is>
          <t>\\192.168.100.169\Comun\00. Proiecte 2026 - SCRIEM</t>
        </is>
      </c>
      <c r="B251" s="2" t="inlineStr">
        <is>
          <t>\\192.168.100.169\Comun\00. Proiecte 2026 - SCRIEM\2026.09.30 Acțiunea 2.1 POCIDIF\P1. SRM DESIGN SRL\14. Documentatii MySMIS (sectiuni narative)\3.1 Activitati Proiect.docx</t>
        </is>
      </c>
      <c r="C251" s="2" t="inlineStr">
        <is>
          <t>3.1 Activitati Proiect.docx</t>
        </is>
      </c>
      <c r="D251" s="2" t="inlineStr">
        <is>
          <t>.docx</t>
        </is>
      </c>
      <c r="E251" s="2" t="n">
        <v>15704</v>
      </c>
      <c r="F251" s="2" t="inlineStr">
        <is>
          <t>2026-07-30T16:56:25</t>
        </is>
      </c>
      <c r="G251" s="2" t="inlineStr">
        <is>
          <t>text Word integral</t>
        </is>
      </c>
      <c r="H251" s="2" t="inlineStr">
        <is>
          <t>re. Punctaj 2.1 (PMF); indicator obligatoriu de introducere în piață (contracte/facturi reale). A6 Informare/publicitate L1–L24 · 30.000 € – vizibilitate conform regulilor UE (obligatoriu). A7 Management de proiect L1–L24 · 90.000 € – coordonare, raportare, achiziții (salarii manager + financiar). A8 Audit tehnic L22–L24 · 60.</t>
        </is>
      </c>
    </row>
    <row r="252">
      <c r="A252" s="2" t="inlineStr">
        <is>
          <t>\\192.168.100.169\Comun\00. Proiecte 2026 - SCRIEM</t>
        </is>
      </c>
      <c r="B252" s="2" t="inlineStr">
        <is>
          <t>\\192.168.100.169\Comun\00. Proiecte 2026 - SCRIEM\2026.09.30 Acțiunea 2.1 POCIDIF\P1. SRM DESIGN SRL\14. Documentatii MySMIS (sectiuni narative)\4. justificare-context- relevanta - oprtunitate.docx</t>
        </is>
      </c>
      <c r="C252" s="2" t="inlineStr">
        <is>
          <t>4. justificare-context- relevanta - oprtunitate.docx</t>
        </is>
      </c>
      <c r="D252" s="2" t="inlineStr">
        <is>
          <t>.docx</t>
        </is>
      </c>
      <c r="E252" s="2" t="n">
        <v>11714</v>
      </c>
      <c r="F252" s="2" t="inlineStr">
        <is>
          <t>2026-07-30T16:56:25</t>
        </is>
      </c>
      <c r="G252" s="2" t="inlineStr">
        <is>
          <t>text Word integral</t>
        </is>
      </c>
      <c r="H252" s="2" t="inlineStr"/>
    </row>
    <row r="253">
      <c r="A253" s="2" t="inlineStr">
        <is>
          <t>\\192.168.100.169\Comun\00. Proiecte 2026 - SCRIEM</t>
        </is>
      </c>
      <c r="B253" s="2" t="inlineStr">
        <is>
          <t>\\192.168.100.169\Comun\00. Proiecte 2026 - SCRIEM\2026.09.30 Acțiunea 2.1 POCIDIF\P1. SRM DESIGN SRL\14. Documentatii MySMIS (sectiuni narative)\5. Durabilitate.docx</t>
        </is>
      </c>
      <c r="C253" s="2" t="inlineStr">
        <is>
          <t>5. Durabilitate.docx</t>
        </is>
      </c>
      <c r="D253" s="2" t="inlineStr">
        <is>
          <t>.docx</t>
        </is>
      </c>
      <c r="E253" s="2" t="n">
        <v>12377</v>
      </c>
      <c r="F253" s="2" t="inlineStr">
        <is>
          <t>2026-07-30T16:56:25</t>
        </is>
      </c>
      <c r="G253" s="2" t="inlineStr">
        <is>
          <t>text Word integral</t>
        </is>
      </c>
      <c r="H253" s="2" t="inlineStr"/>
    </row>
    <row r="254">
      <c r="A254" s="2" t="inlineStr">
        <is>
          <t>\\192.168.100.169\Comun\00. Proiecte 2026 - SCRIEM</t>
        </is>
      </c>
      <c r="B254" s="2" t="inlineStr">
        <is>
          <t>\\192.168.100.169\Comun\00. Proiecte 2026 - SCRIEM\2026.09.30 Acțiunea 2.1 POCIDIF\P1. SRM DESIGN SRL\14. Documentatii MySMIS (sectiuni narative)\6. Riscuri.docx</t>
        </is>
      </c>
      <c r="C254" s="2" t="inlineStr">
        <is>
          <t>6. Riscuri.docx</t>
        </is>
      </c>
      <c r="D254" s="2" t="inlineStr">
        <is>
          <t>.docx</t>
        </is>
      </c>
      <c r="E254" s="2" t="n">
        <v>11402</v>
      </c>
      <c r="F254" s="2" t="inlineStr">
        <is>
          <t>2026-07-30T16:56:25</t>
        </is>
      </c>
      <c r="G254" s="2" t="inlineStr">
        <is>
          <t>text Word integral</t>
        </is>
      </c>
      <c r="H254" s="2" t="inlineStr"/>
    </row>
    <row r="255">
      <c r="A255" s="2" t="inlineStr">
        <is>
          <t>\\192.168.100.169\Comun\00. Proiecte 2026 - SCRIEM</t>
        </is>
      </c>
      <c r="B255" s="2" t="inlineStr">
        <is>
          <t>\\192.168.100.169\Comun\00. Proiecte 2026 - SCRIEM\2026.09.30 Acțiunea 2.1 POCIDIF\P1. SRM DESIGN SRL\14. Documentatii MySMIS (sectiuni narative)\7. Grup tinta.docx</t>
        </is>
      </c>
      <c r="C255" s="2" t="inlineStr">
        <is>
          <t>7. Grup tinta.docx</t>
        </is>
      </c>
      <c r="D255" s="2" t="inlineStr">
        <is>
          <t>.docx</t>
        </is>
      </c>
      <c r="E255" s="2" t="n">
        <v>11254</v>
      </c>
      <c r="F255" s="2" t="inlineStr">
        <is>
          <t>2026-07-30T16:56:25</t>
        </is>
      </c>
      <c r="G255" s="2" t="inlineStr">
        <is>
          <t>text Word integral</t>
        </is>
      </c>
      <c r="H255" s="2" t="inlineStr"/>
    </row>
    <row r="256">
      <c r="A256" s="2" t="inlineStr">
        <is>
          <t>\\192.168.100.169\Comun\00. Proiecte 2026 - SCRIEM</t>
        </is>
      </c>
      <c r="B256" s="2" t="inlineStr">
        <is>
          <t>\\192.168.100.169\Comun\00. Proiecte 2026 - SCRIEM\2026.09.30 Acțiunea 2.1 POCIDIF\P1. SRM DESIGN SRL\14. Documentatii MySMIS (sectiuni narative)\8. Principii orizontale.docx</t>
        </is>
      </c>
      <c r="C256" s="2" t="inlineStr">
        <is>
          <t>8. Principii orizontale.docx</t>
        </is>
      </c>
      <c r="D256" s="2" t="inlineStr">
        <is>
          <t>.docx</t>
        </is>
      </c>
      <c r="E256" s="2" t="n">
        <v>11835</v>
      </c>
      <c r="F256" s="2" t="inlineStr">
        <is>
          <t>2026-07-30T16:56:25</t>
        </is>
      </c>
      <c r="G256" s="2" t="inlineStr">
        <is>
          <t>text Word integral</t>
        </is>
      </c>
      <c r="H256" s="2" t="inlineStr"/>
    </row>
    <row r="257">
      <c r="A257" s="2" t="inlineStr">
        <is>
          <t>\\192.168.100.169\Comun\00. Proiecte 2026 - SCRIEM</t>
        </is>
      </c>
      <c r="B257" s="2" t="inlineStr">
        <is>
          <t>\\192.168.100.169\Comun\00. Proiecte 2026 - SCRIEM\2026.09.30 Acțiunea 2.1 POCIDIF\P1. SRM DESIGN SRL\14. Documentatii MySMIS (sectiuni narative)\9. Metodologia de implementare proiect.docx</t>
        </is>
      </c>
      <c r="C257" s="2" t="inlineStr">
        <is>
          <t>9. Metodologia de implementare proiect.docx</t>
        </is>
      </c>
      <c r="D257" s="2" t="inlineStr">
        <is>
          <t>.docx</t>
        </is>
      </c>
      <c r="E257" s="2" t="n">
        <v>11373</v>
      </c>
      <c r="F257" s="2" t="inlineStr">
        <is>
          <t>2026-07-30T16:56:25</t>
        </is>
      </c>
      <c r="G257" s="2" t="inlineStr">
        <is>
          <t>text Word integral</t>
        </is>
      </c>
      <c r="H257" s="2" t="inlineStr"/>
    </row>
    <row r="258">
      <c r="A258" s="2" t="inlineStr">
        <is>
          <t>\\192.168.100.169\Comun\00. Proiecte 2026 - SCRIEM</t>
        </is>
      </c>
      <c r="B258" s="2" t="inlineStr">
        <is>
          <t>\\192.168.100.169\Comun\00. Proiecte 2026 - SCRIEM\2026.09.30 Acțiunea 2.1 POCIDIF\P1. SRM DESIGN SRL\15. LOI si protocoale pilot\LOI - INDUNOVA ROBOTICS SRL (16.07.2026).docx</t>
        </is>
      </c>
      <c r="C258" s="2" t="inlineStr">
        <is>
          <t>LOI - INDUNOVA ROBOTICS SRL (16.07.2026).docx</t>
        </is>
      </c>
      <c r="D258" s="2" t="inlineStr">
        <is>
          <t>.docx</t>
        </is>
      </c>
      <c r="E258" s="2" t="n">
        <v>10200</v>
      </c>
      <c r="F258" s="2" t="inlineStr">
        <is>
          <t>2026-07-30T16:56:26</t>
        </is>
      </c>
      <c r="G258" s="2" t="inlineStr">
        <is>
          <t>text Word integral</t>
        </is>
      </c>
      <c r="H258" s="2" t="inlineStr"/>
    </row>
    <row r="259">
      <c r="A259" s="2" t="inlineStr">
        <is>
          <t>\\192.168.100.169\Comun\00. Proiecte 2026 - SCRIEM</t>
        </is>
      </c>
      <c r="B259" s="2" t="inlineStr">
        <is>
          <t>\\192.168.100.169\Comun\00. Proiecte 2026 - SCRIEM\2026.09.30 Acțiunea 2.1 POCIDIF\P1. SRM DESIGN SRL\15. LOI si protocoale pilot\LOI - INFOGRUP SRL (16.07.2026).docx</t>
        </is>
      </c>
      <c r="C259" s="2" t="inlineStr">
        <is>
          <t>LOI - INFOGRUP SRL (16.07.2026).docx</t>
        </is>
      </c>
      <c r="D259" s="2" t="inlineStr">
        <is>
          <t>.docx</t>
        </is>
      </c>
      <c r="E259" s="2" t="n">
        <v>10221</v>
      </c>
      <c r="F259" s="2" t="inlineStr">
        <is>
          <t>2026-07-30T16:56:26</t>
        </is>
      </c>
      <c r="G259" s="2" t="inlineStr">
        <is>
          <t>text Word integral</t>
        </is>
      </c>
      <c r="H259" s="2" t="inlineStr"/>
    </row>
    <row r="260">
      <c r="A260" s="2" t="inlineStr">
        <is>
          <t>\\192.168.100.169\Comun\00. Proiecte 2026 - SCRIEM</t>
        </is>
      </c>
      <c r="B260" s="2" t="inlineStr">
        <is>
          <t>\\192.168.100.169\Comun\00. Proiecte 2026 - SCRIEM\2026.09.30 Acțiunea 2.1 POCIDIF\P1. SRM DESIGN SRL\15. LOI si protocoale pilot\LOI - IPEC SA (08.06.2026).docx</t>
        </is>
      </c>
      <c r="C260" s="2" t="inlineStr">
        <is>
          <t>LOI - IPEC SA (08.06.2026).docx</t>
        </is>
      </c>
      <c r="D260" s="2" t="inlineStr">
        <is>
          <t>.docx</t>
        </is>
      </c>
      <c r="E260" s="2" t="n">
        <v>9893</v>
      </c>
      <c r="F260" s="2" t="inlineStr">
        <is>
          <t>2026-07-30T16:56:26</t>
        </is>
      </c>
      <c r="G260" s="2" t="inlineStr">
        <is>
          <t>text Word integral</t>
        </is>
      </c>
      <c r="H260" s="2" t="inlineStr"/>
    </row>
    <row r="261">
      <c r="A261" s="2" t="inlineStr">
        <is>
          <t>\\192.168.100.169\Comun\00. Proiecte 2026 - SCRIEM</t>
        </is>
      </c>
      <c r="B261" s="2" t="inlineStr">
        <is>
          <t>\\192.168.100.169\Comun\00. Proiecte 2026 - SCRIEM\2026.09.30 Acțiunea 2.1 POCIDIF\P1. SRM DESIGN SRL\15. LOI si protocoale pilot\Protocol pilot - IPEC SA (08.06.2026).docx</t>
        </is>
      </c>
      <c r="C261" s="2" t="inlineStr">
        <is>
          <t>Protocol pilot - IPEC SA (08.06.2026).docx</t>
        </is>
      </c>
      <c r="D261" s="2" t="inlineStr">
        <is>
          <t>.docx</t>
        </is>
      </c>
      <c r="E261" s="2" t="n">
        <v>10550</v>
      </c>
      <c r="F261" s="2" t="inlineStr">
        <is>
          <t>2026-07-30T16:56:26</t>
        </is>
      </c>
      <c r="G261" s="2" t="inlineStr">
        <is>
          <t>text Word integral</t>
        </is>
      </c>
      <c r="H261" s="2" t="inlineStr"/>
    </row>
    <row r="262">
      <c r="A262" s="2" t="inlineStr">
        <is>
          <t>\\192.168.100.169\Comun\00. Proiecte 2026 - SCRIEM</t>
        </is>
      </c>
      <c r="B262" s="2" t="inlineStr">
        <is>
          <t>\\192.168.100.169\Comun\00. Proiecte 2026 - SCRIEM\2026.09.30 Acțiunea 2.1 POCIDIF\P1. SRM DESIGN SRL\16. Oferte si rezonabilitatea costurilor\_Ce contine acest capitol.txt</t>
        </is>
      </c>
      <c r="C262" s="2" t="inlineStr">
        <is>
          <t>_Ce contine acest capitol.txt</t>
        </is>
      </c>
      <c r="D262" s="2" t="inlineStr">
        <is>
          <t>.txt</t>
        </is>
      </c>
      <c r="E262" s="2" t="n">
        <v>352</v>
      </c>
      <c r="F262" s="2" t="inlineStr">
        <is>
          <t>2026-07-30T17:07:41</t>
        </is>
      </c>
      <c r="G262" s="2" t="inlineStr">
        <is>
          <t>text integral</t>
        </is>
      </c>
      <c r="H262" s="2" t="inlineStr"/>
    </row>
    <row r="263">
      <c r="A263" s="2" t="inlineStr">
        <is>
          <t>\\192.168.100.169\Comun\00. Proiecte 2026 - SCRIEM</t>
        </is>
      </c>
      <c r="B263" s="2" t="inlineStr">
        <is>
          <t>\\192.168.100.169\Comun\00. Proiecte 2026 - SCRIEM\2026.09.30 Acțiunea 2.1 POCIDIF\P1. SRM DESIGN SRL\19. Dosar de depunere\1. Pregatit (in lucru)\00 - CUPRINS dosar depunere - CUI 47344051.docx</t>
        </is>
      </c>
      <c r="C263" s="2" t="inlineStr">
        <is>
          <t>00 - CUPRINS dosar depunere - CUI 47344051.docx</t>
        </is>
      </c>
      <c r="D263" s="2" t="inlineStr">
        <is>
          <t>.docx</t>
        </is>
      </c>
      <c r="E263" s="2" t="n">
        <v>14846</v>
      </c>
      <c r="F263" s="2" t="inlineStr">
        <is>
          <t>2026-07-30T16:56:26</t>
        </is>
      </c>
      <c r="G263" s="2" t="inlineStr">
        <is>
          <t>text Word integral</t>
        </is>
      </c>
      <c r="H263" s="2" t="inlineStr"/>
    </row>
    <row r="264">
      <c r="A264" s="2" t="inlineStr">
        <is>
          <t>\\192.168.100.169\Comun\00. Proiecte 2026 - SCRIEM</t>
        </is>
      </c>
      <c r="B264" s="2" t="inlineStr">
        <is>
          <t>\\192.168.100.169\Comun\00. Proiecte 2026 - SCRIEM\2026.09.30 Acțiunea 2.1 POCIDIF\P1. SRM DESIGN SRL\19. Dosar de depunere\1. Pregatit (in lucru)\Anexa 1 - Cerere de finantare (continut pentru MySMIS) - CUI 47344051.docx</t>
        </is>
      </c>
      <c r="C264" s="2" t="inlineStr">
        <is>
          <t>Anexa 1 - Cerere de finantare (continut pentru MySMIS) - CUI 47344051.docx</t>
        </is>
      </c>
      <c r="D264" s="2" t="inlineStr">
        <is>
          <t>.docx</t>
        </is>
      </c>
      <c r="E264" s="2" t="n">
        <v>12382</v>
      </c>
      <c r="F264" s="2" t="inlineStr">
        <is>
          <t>2026-07-30T16:56:26</t>
        </is>
      </c>
      <c r="G264" s="2" t="inlineStr">
        <is>
          <t>text Word integral</t>
        </is>
      </c>
      <c r="H264" s="2" t="inlineStr"/>
    </row>
    <row r="265">
      <c r="A265" s="2" t="inlineStr">
        <is>
          <t>\\192.168.100.169\Comun\00. Proiecte 2026 - SCRIEM</t>
        </is>
      </c>
      <c r="B265" s="2" t="inlineStr">
        <is>
          <t>\\192.168.100.169\Comun\00. Proiecte 2026 - SCRIEM\2026.09.30 Acțiunea 2.1 POCIDIF\P1. SRM DESIGN SRL\19. Dosar de depunere\1. Pregatit (in lucru)\Anexa 11 - Declaratie IMM - CUI 47344051.docx</t>
        </is>
      </c>
      <c r="C265" s="2" t="inlineStr">
        <is>
          <t>Anexa 11 - Declaratie IMM - CUI 47344051.docx</t>
        </is>
      </c>
      <c r="D265" s="2" t="inlineStr">
        <is>
          <t>.docx</t>
        </is>
      </c>
      <c r="E265" s="2" t="n">
        <v>33167</v>
      </c>
      <c r="F265" s="2" t="inlineStr">
        <is>
          <t>2026-07-30T16:56:26</t>
        </is>
      </c>
      <c r="G265" s="2" t="inlineStr">
        <is>
          <t>text Word integral</t>
        </is>
      </c>
      <c r="H265" s="2" t="inlineStr"/>
    </row>
    <row r="266">
      <c r="A266" s="2" t="inlineStr">
        <is>
          <t>\\192.168.100.169\Comun\00. Proiecte 2026 - SCRIEM</t>
        </is>
      </c>
      <c r="B266" s="2" t="inlineStr">
        <is>
          <t>\\192.168.100.169\Comun\00. Proiecte 2026 - SCRIEM\2026.09.30 Acțiunea 2.1 POCIDIF\P1. SRM DESIGN SRL\19. Dosar de depunere\1. Pregatit (in lucru)\Anexa 15 - Calcul firma in dificultate - CUI 47344051.xlsx</t>
        </is>
      </c>
      <c r="C266" s="2" t="inlineStr">
        <is>
          <t>Anexa 15 - Calcul firma in dificultate - CUI 47344051.xlsx</t>
        </is>
      </c>
      <c r="D266" s="2" t="inlineStr">
        <is>
          <t>.xlsx</t>
        </is>
      </c>
      <c r="E266" s="2" t="n">
        <v>12774</v>
      </c>
      <c r="F266" s="2" t="inlineStr">
        <is>
          <t>2026-07-30T16:56:26</t>
        </is>
      </c>
      <c r="G266" s="2" t="inlineStr">
        <is>
          <t>valori Excel; fără obiecte încorporate</t>
        </is>
      </c>
      <c r="H266" s="2" t="inlineStr"/>
    </row>
    <row r="267">
      <c r="A267" s="2" t="inlineStr">
        <is>
          <t>\\192.168.100.169\Comun\00. Proiecte 2026 - SCRIEM</t>
        </is>
      </c>
      <c r="B267" s="2" t="inlineStr">
        <is>
          <t>\\192.168.100.169\Comun\00. Proiecte 2026 - SCRIEM\2026.09.30 Acțiunea 2.1 POCIDIF\P1. SRM DESIGN SRL\19. Dosar de depunere\1. Pregatit (in lucru)\Anexa 16 - Tabel corelare buget-activitati - CUI 47344051.xlsx</t>
        </is>
      </c>
      <c r="C267" s="2" t="inlineStr">
        <is>
          <t>Anexa 16 - Tabel corelare buget-activitati - CUI 47344051.xlsx</t>
        </is>
      </c>
      <c r="D267" s="2" t="inlineStr">
        <is>
          <t>.xlsx</t>
        </is>
      </c>
      <c r="E267" s="2" t="n">
        <v>10934</v>
      </c>
      <c r="F267" s="2" t="inlineStr">
        <is>
          <t>2026-07-30T16:56:26</t>
        </is>
      </c>
      <c r="G267" s="2" t="inlineStr">
        <is>
          <t>valori Excel; fără obiecte încorporate</t>
        </is>
      </c>
      <c r="H267" s="2" t="inlineStr"/>
    </row>
    <row r="268">
      <c r="A268" s="2" t="inlineStr">
        <is>
          <t>\\192.168.100.169\Comun\00. Proiecte 2026 - SCRIEM</t>
        </is>
      </c>
      <c r="B268" s="2" t="inlineStr">
        <is>
          <t>\\192.168.100.169\Comun\00. Proiecte 2026 - SCRIEM\2026.09.30 Acțiunea 2.1 POCIDIF\P1. SRM DESIGN SRL\19. Dosar de depunere\1. Pregatit (in lucru)\Anexa 18 - Declaratie cumul ajutoare - CUI 47344051.docx</t>
        </is>
      </c>
      <c r="C268" s="2" t="inlineStr">
        <is>
          <t>Anexa 18 - Declaratie cumul ajutoare - CUI 47344051.docx</t>
        </is>
      </c>
      <c r="D268" s="2" t="inlineStr">
        <is>
          <t>.docx</t>
        </is>
      </c>
      <c r="E268" s="2" t="n">
        <v>21331</v>
      </c>
      <c r="F268" s="2" t="inlineStr">
        <is>
          <t>2026-07-30T16:56:26</t>
        </is>
      </c>
      <c r="G268" s="2" t="inlineStr">
        <is>
          <t>text Word integral</t>
        </is>
      </c>
      <c r="H268" s="2" t="inlineStr"/>
    </row>
    <row r="269">
      <c r="A269" s="2" t="inlineStr">
        <is>
          <t>\\192.168.100.169\Comun\00. Proiecte 2026 - SCRIEM</t>
        </is>
      </c>
      <c r="B269" s="2" t="inlineStr">
        <is>
          <t>\\192.168.100.169\Comun\00. Proiecte 2026 - SCRIEM\2026.09.30 Acțiunea 2.1 POCIDIF\P1. SRM DESIGN SRL\19. Dosar de depunere\1. Pregatit (in lucru)\Anexa 2 - Declaratia unica - CUI 47344051.docx</t>
        </is>
      </c>
      <c r="C269" s="2" t="inlineStr">
        <is>
          <t>Anexa 2 - Declaratia unica - CUI 47344051.docx</t>
        </is>
      </c>
      <c r="D269" s="2" t="inlineStr">
        <is>
          <t>.docx</t>
        </is>
      </c>
      <c r="E269" s="2" t="n">
        <v>42337</v>
      </c>
      <c r="F269" s="2" t="inlineStr">
        <is>
          <t>2026-07-30T16:56:26</t>
        </is>
      </c>
      <c r="G269" s="2" t="inlineStr">
        <is>
          <t>text Word integral</t>
        </is>
      </c>
      <c r="H269" s="2" t="inlineStr"/>
    </row>
    <row r="270">
      <c r="A270" s="2" t="inlineStr">
        <is>
          <t>\\192.168.100.169\Comun\00. Proiecte 2026 - SCRIEM</t>
        </is>
      </c>
      <c r="B270" s="2" t="inlineStr">
        <is>
          <t>\\192.168.100.169\Comun\00. Proiecte 2026 - SCRIEM\2026.09.30 Acțiunea 2.1 POCIDIF\P1. SRM DESIGN SRL\19. Dosar de depunere\1. Pregatit (in lucru)\Anexa 3 - Plan monitorizare - CUI 47344051.docx</t>
        </is>
      </c>
      <c r="C270" s="2" t="inlineStr">
        <is>
          <t>Anexa 3 - Plan monitorizare - CUI 47344051.docx</t>
        </is>
      </c>
      <c r="D270" s="2" t="inlineStr">
        <is>
          <t>.docx</t>
        </is>
      </c>
      <c r="E270" s="2" t="n">
        <v>34913</v>
      </c>
      <c r="F270" s="2" t="inlineStr">
        <is>
          <t>2026-07-30T16:56:26</t>
        </is>
      </c>
      <c r="G270" s="2" t="inlineStr">
        <is>
          <t>text Word integral</t>
        </is>
      </c>
      <c r="H270" s="2" t="inlineStr"/>
    </row>
    <row r="271">
      <c r="A271" s="2" t="inlineStr">
        <is>
          <t>\\192.168.100.169\Comun\00. Proiecte 2026 - SCRIEM</t>
        </is>
      </c>
      <c r="B271" s="2" t="inlineStr">
        <is>
          <t>\\192.168.100.169\Comun\00. Proiecte 2026 - SCRIEM\2026.09.30 Acțiunea 2.1 POCIDIF\P1. SRM DESIGN SRL\19. Dosar de depunere\1. Pregatit (in lucru)\Anexa 4 - Plan de afaceri - CUI 47344051.docx</t>
        </is>
      </c>
      <c r="C271" s="2" t="inlineStr">
        <is>
          <t>Anexa 4 - Plan de afaceri - CUI 47344051.docx</t>
        </is>
      </c>
      <c r="D271" s="2" t="inlineStr">
        <is>
          <t>.docx</t>
        </is>
      </c>
      <c r="E271" s="2" t="n">
        <v>10848</v>
      </c>
      <c r="F271" s="2" t="inlineStr">
        <is>
          <t>2026-07-30T16:56:26</t>
        </is>
      </c>
      <c r="G271" s="2" t="inlineStr">
        <is>
          <t>text Word integral</t>
        </is>
      </c>
      <c r="H271" s="2" t="inlineStr"/>
    </row>
    <row r="272">
      <c r="A272" s="2" t="inlineStr">
        <is>
          <t>\\192.168.100.169\Comun\00. Proiecte 2026 - SCRIEM</t>
        </is>
      </c>
      <c r="B272" s="2" t="inlineStr">
        <is>
          <t>\\192.168.100.169\Comun\00. Proiecte 2026 - SCRIEM\2026.09.30 Acțiunea 2.1 POCIDIF\P1. SRM DESIGN SRL\19. Dosar de depunere\1. Pregatit (in lucru)\Anexa 5 - Declaratie eligibilitate TVA - CUI 47344051.doc</t>
        </is>
      </c>
      <c r="C272" s="2" t="inlineStr">
        <is>
          <t>Anexa 5 - Declaratie eligibilitate TVA - CUI 47344051.doc</t>
        </is>
      </c>
      <c r="D272" s="2" t="inlineStr">
        <is>
          <t>.doc</t>
        </is>
      </c>
      <c r="E272" s="2" t="n">
        <v>271360</v>
      </c>
      <c r="F272" s="2" t="inlineStr">
        <is>
          <t>2026-06-25T15:21:49</t>
        </is>
      </c>
      <c r="G272" s="2" t="inlineStr">
        <is>
          <t>format non analysé</t>
        </is>
      </c>
      <c r="H272" s="2" t="inlineStr"/>
    </row>
    <row r="273">
      <c r="A273" s="2" t="inlineStr">
        <is>
          <t>\\192.168.100.169\Comun\00. Proiecte 2026 - SCRIEM</t>
        </is>
      </c>
      <c r="B273" s="2" t="inlineStr">
        <is>
          <t>\\192.168.100.169\Comun\00. Proiecte 2026 - SCRIEM\2026.09.30 Acțiunea 2.1 POCIDIF\P1. SRM DESIGN SRL\19. Dosar de depunere\1. Pregatit (in lucru)\Anexa 6 - Buget defalcat pentru verificare rezonabilitate - CUI 47344051.docx</t>
        </is>
      </c>
      <c r="C273" s="2" t="inlineStr">
        <is>
          <t>Anexa 6 - Buget defalcat pentru verificare rezonabilitate - CUI 47344051.docx</t>
        </is>
      </c>
      <c r="D273" s="2" t="inlineStr">
        <is>
          <t>.docx</t>
        </is>
      </c>
      <c r="E273" s="2" t="n">
        <v>49943</v>
      </c>
      <c r="F273" s="2" t="inlineStr">
        <is>
          <t>2026-07-30T16:56:26</t>
        </is>
      </c>
      <c r="G273" s="2" t="inlineStr">
        <is>
          <t>text Word integral</t>
        </is>
      </c>
      <c r="H273" s="2" t="inlineStr"/>
    </row>
    <row r="274">
      <c r="A274" s="2" t="inlineStr">
        <is>
          <t>\\192.168.100.169\Comun\00. Proiecte 2026 - SCRIEM</t>
        </is>
      </c>
      <c r="B274" s="2" t="inlineStr">
        <is>
          <t>\\192.168.100.169\Comun\00. Proiecte 2026 - SCRIEM\2026.09.30 Acțiunea 2.1 POCIDIF\P1. SRM DESIGN SRL\19. Dosar de depunere\1. Pregatit (in lucru)\Anexa 7 - Centralizator cantitati si oferte - CUI 47344051.docx</t>
        </is>
      </c>
      <c r="C274" s="2" t="inlineStr">
        <is>
          <t>Anexa 7 - Centralizator cantitati si oferte - CUI 47344051.docx</t>
        </is>
      </c>
      <c r="D274" s="2" t="inlineStr">
        <is>
          <t>.docx</t>
        </is>
      </c>
      <c r="E274" s="2" t="n">
        <v>20168</v>
      </c>
      <c r="F274" s="2" t="inlineStr">
        <is>
          <t>2026-07-30T16:56:26</t>
        </is>
      </c>
      <c r="G274" s="2" t="inlineStr">
        <is>
          <t>text Word integral</t>
        </is>
      </c>
      <c r="H274" s="2" t="inlineStr"/>
    </row>
    <row r="275">
      <c r="A275" s="2" t="inlineStr">
        <is>
          <t>\\192.168.100.169\Comun\00. Proiecte 2026 - SCRIEM</t>
        </is>
      </c>
      <c r="B275" s="2" t="inlineStr">
        <is>
          <t>\\192.168.100.169\Comun\00. Proiecte 2026 - SCRIEM\2026.09.30 Acțiunea 2.1 POCIDIF\P1. SRM DESIGN SRL\19. Dosar de depunere\1. Pregatit (in lucru)\Anexa 8 - Declaratie conflict de interese (manager de proiect) - CUI 47344051.docx</t>
        </is>
      </c>
      <c r="C275" s="2" t="inlineStr">
        <is>
          <t>Anexa 8 - Declaratie conflict de interese (manager de proiect) - CUI 47344051.docx</t>
        </is>
      </c>
      <c r="D275" s="2" t="inlineStr">
        <is>
          <t>.docx</t>
        </is>
      </c>
      <c r="E275" s="2" t="n">
        <v>217830</v>
      </c>
      <c r="F275" s="2" t="inlineStr">
        <is>
          <t>2026-07-30T16:56:26</t>
        </is>
      </c>
      <c r="G275" s="2" t="inlineStr">
        <is>
          <t>text Word integral</t>
        </is>
      </c>
      <c r="H275" s="2" t="inlineStr"/>
    </row>
    <row r="276">
      <c r="A276" s="2" t="inlineStr">
        <is>
          <t>\\192.168.100.169\Comun\00. Proiecte 2026 - SCRIEM</t>
        </is>
      </c>
      <c r="B276" s="2" t="inlineStr">
        <is>
          <t>\\192.168.100.169\Comun\00. Proiecte 2026 - SCRIEM\2026.09.30 Acțiunea 2.1 POCIDIF\P1. SRM DESIGN SRL\19. Dosar de depunere\1. Pregatit (in lucru)\Anexa 8 - Declaratie conflict de interese (responsabil financiar) - CUI 47344051.docx</t>
        </is>
      </c>
      <c r="C276" s="2" t="inlineStr">
        <is>
          <t>Anexa 8 - Declaratie conflict de interese (responsabil financiar) - CUI 47344051.docx</t>
        </is>
      </c>
      <c r="D276" s="2" t="inlineStr">
        <is>
          <t>.docx</t>
        </is>
      </c>
      <c r="E276" s="2" t="n">
        <v>217836</v>
      </c>
      <c r="F276" s="2" t="inlineStr">
        <is>
          <t>2026-07-30T16:56:26</t>
        </is>
      </c>
      <c r="G276" s="2" t="inlineStr">
        <is>
          <t>text Word integral</t>
        </is>
      </c>
      <c r="H276" s="2" t="inlineStr"/>
    </row>
    <row r="277">
      <c r="A277" s="2" t="inlineStr">
        <is>
          <t>\\192.168.100.169\Comun\00. Proiecte 2026 - SCRIEM</t>
        </is>
      </c>
      <c r="B277" s="2" t="inlineStr">
        <is>
          <t>\\192.168.100.169\Comun\00. Proiecte 2026 - SCRIEM\2026.09.30 Acțiunea 2.1 POCIDIF\P1. SRM DESIGN SRL\19. Dosar de depunere\1. Pregatit (in lucru)\Configurare linie - Varianta A (RECOMANDATA) - CUI 47344051.docx</t>
        </is>
      </c>
      <c r="C277" s="2" t="inlineStr">
        <is>
          <t>Configurare linie - Varianta A (RECOMANDATA) - CUI 47344051.docx</t>
        </is>
      </c>
      <c r="D277" s="2" t="inlineStr">
        <is>
          <t>.docx</t>
        </is>
      </c>
      <c r="E277" s="2" t="n">
        <v>21516</v>
      </c>
      <c r="F277" s="2" t="inlineStr">
        <is>
          <t>2026-07-30T16:56:26</t>
        </is>
      </c>
      <c r="G277" s="2" t="inlineStr">
        <is>
          <t>text Word integral</t>
        </is>
      </c>
      <c r="H277" s="2" t="inlineStr"/>
    </row>
    <row r="278">
      <c r="A278" s="2" t="inlineStr">
        <is>
          <t>\\192.168.100.169\Comun\00. Proiecte 2026 - SCRIEM</t>
        </is>
      </c>
      <c r="B278" s="2" t="inlineStr">
        <is>
          <t>\\192.168.100.169\Comun\00. Proiecte 2026 - SCRIEM\2026.09.30 Acțiunea 2.1 POCIDIF\P1. SRM DESIGN SRL\19. Dosar de depunere\1. Pregatit (in lucru)\Configurare linie - Varianta B (alternativa evaluata) - CUI 47344051.docx</t>
        </is>
      </c>
      <c r="C278" s="2" t="inlineStr">
        <is>
          <t>Configurare linie - Varianta B (alternativa evaluata) - CUI 47344051.docx</t>
        </is>
      </c>
      <c r="D278" s="2" t="inlineStr">
        <is>
          <t>.docx</t>
        </is>
      </c>
      <c r="E278" s="2" t="n">
        <v>20657</v>
      </c>
      <c r="F278" s="2" t="inlineStr">
        <is>
          <t>2026-07-30T16:56:26</t>
        </is>
      </c>
      <c r="G278" s="2" t="inlineStr">
        <is>
          <t>text Word integral</t>
        </is>
      </c>
      <c r="H278" s="2" t="inlineStr"/>
    </row>
    <row r="279">
      <c r="A279" s="2" t="inlineStr">
        <is>
          <t>\\192.168.100.169\Comun\00. Proiecte 2026 - SCRIEM</t>
        </is>
      </c>
      <c r="B279" s="2" t="inlineStr">
        <is>
          <t>\\192.168.100.169\Comun\00. Proiecte 2026 - SCRIEM\2026.09.30 Acțiunea 2.1 POCIDIF\P1. SRM DESIGN SRL\19. Dosar de depunere\1. Pregatit (in lucru)\Dosar evidenta TRL1-TRL6 (dovada punctului de plecare) - CUI 47344051.docx</t>
        </is>
      </c>
      <c r="C279" s="2" t="inlineStr">
        <is>
          <t>Dosar evidenta TRL1-TRL6 (dovada punctului de plecare) - CUI 47344051.docx</t>
        </is>
      </c>
      <c r="D279" s="2" t="inlineStr">
        <is>
          <t>.docx</t>
        </is>
      </c>
      <c r="E279" s="2" t="n">
        <v>23770</v>
      </c>
      <c r="F279" s="2" t="inlineStr">
        <is>
          <t>2026-07-30T16:56:26</t>
        </is>
      </c>
      <c r="G279" s="2" t="inlineStr">
        <is>
          <t>text Word integral</t>
        </is>
      </c>
      <c r="H279" s="2" t="inlineStr"/>
    </row>
    <row r="280">
      <c r="A280" s="2" t="inlineStr">
        <is>
          <t>\\192.168.100.169\Comun\00. Proiecte 2026 - SCRIEM</t>
        </is>
      </c>
      <c r="B280" s="2" t="inlineStr">
        <is>
          <t>\\192.168.100.169\Comun\00. Proiecte 2026 - SCRIEM\2026.09.30 Acțiunea 2.1 POCIDIF\P1. SRM DESIGN SRL\19. Dosar de depunere\1. Pregatit (in lucru)\Fisa de proiect TRL6-TRL9 (roadmap si conformitate CE) - CUI 47344051.docx</t>
        </is>
      </c>
      <c r="C280" s="2" t="inlineStr">
        <is>
          <t>Fisa de proiect TRL6-TRL9 (roadmap si conformitate CE) - CUI 47344051.docx</t>
        </is>
      </c>
      <c r="D280" s="2" t="inlineStr">
        <is>
          <t>.docx</t>
        </is>
      </c>
      <c r="E280" s="2" t="n">
        <v>27607</v>
      </c>
      <c r="F280" s="2" t="inlineStr">
        <is>
          <t>2026-07-30T16:56:26</t>
        </is>
      </c>
      <c r="G280" s="2" t="inlineStr">
        <is>
          <t>text Word integral</t>
        </is>
      </c>
      <c r="H280" s="2" t="inlineStr">
        <is>
          <t>000 € / 42.000 €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
000 € A3 Introducere în piață WP8 L18-L24 Minimis 120.000 € / 120.000 € A4 Informare și publicitate WP9 L1-L24 Minimis 30.000 € / 30.000 € A5 Management de proiect WP1 L1-L24 Minimis 90.000 € / 90.000 € A6 Audit tehnic WP10 L22-L24 Minimis 60.000 € / 60.000 €  TOTAL    4.060.857 € / 3.000.000 € Act normativ Relevanță pentru EV</t>
        </is>
      </c>
    </row>
    <row r="281">
      <c r="A281" s="2" t="inlineStr">
        <is>
          <t>\\192.168.100.169\Comun\00. Proiecte 2026 - SCRIEM</t>
        </is>
      </c>
      <c r="B281" s="2" t="inlineStr">
        <is>
          <t>\\192.168.100.169\Comun\00. Proiecte 2026 - SCRIEM\2026.09.30 Acțiunea 2.1 POCIDIF\P1. SRM DESIGN SRL\19. Dosar de depunere\1. Pregatit (in lucru)\LOI - INDUNOVA ROBOTICS SRL (16.07.2026) - CUI 47344051.docx</t>
        </is>
      </c>
      <c r="C281" s="2" t="inlineStr">
        <is>
          <t>LOI - INDUNOVA ROBOTICS SRL (16.07.2026) - CUI 47344051.docx</t>
        </is>
      </c>
      <c r="D281" s="2" t="inlineStr">
        <is>
          <t>.docx</t>
        </is>
      </c>
      <c r="E281" s="2" t="n">
        <v>10200</v>
      </c>
      <c r="F281" s="2" t="inlineStr">
        <is>
          <t>2026-07-30T16:56:26</t>
        </is>
      </c>
      <c r="G281" s="2" t="inlineStr">
        <is>
          <t>text Word integral</t>
        </is>
      </c>
      <c r="H281" s="2" t="inlineStr"/>
    </row>
    <row r="282">
      <c r="A282" s="2" t="inlineStr">
        <is>
          <t>\\192.168.100.169\Comun\00. Proiecte 2026 - SCRIEM</t>
        </is>
      </c>
      <c r="B282" s="2" t="inlineStr">
        <is>
          <t>\\192.168.100.169\Comun\00. Proiecte 2026 - SCRIEM\2026.09.30 Acțiunea 2.1 POCIDIF\P1. SRM DESIGN SRL\19. Dosar de depunere\1. Pregatit (in lucru)\LOI - INFOGRUP SRL (16.07.2026) - CUI 47344051.docx</t>
        </is>
      </c>
      <c r="C282" s="2" t="inlineStr">
        <is>
          <t>LOI - INFOGRUP SRL (16.07.2026) - CUI 47344051.docx</t>
        </is>
      </c>
      <c r="D282" s="2" t="inlineStr">
        <is>
          <t>.docx</t>
        </is>
      </c>
      <c r="E282" s="2" t="n">
        <v>10221</v>
      </c>
      <c r="F282" s="2" t="inlineStr">
        <is>
          <t>2026-07-30T16:56:26</t>
        </is>
      </c>
      <c r="G282" s="2" t="inlineStr">
        <is>
          <t>text Word integral</t>
        </is>
      </c>
      <c r="H282" s="2" t="inlineStr"/>
    </row>
    <row r="283">
      <c r="A283" s="2" t="inlineStr">
        <is>
          <t>\\192.168.100.169\Comun\00. Proiecte 2026 - SCRIEM</t>
        </is>
      </c>
      <c r="B283" s="2" t="inlineStr">
        <is>
          <t>\\192.168.100.169\Comun\00. Proiecte 2026 - SCRIEM\2026.09.30 Acțiunea 2.1 POCIDIF\P1. SRM DESIGN SRL\19. Dosar de depunere\1. Pregatit (in lucru)\LOI - IPEC SA (08.06.2026) - CUI 47344051.docx</t>
        </is>
      </c>
      <c r="C283" s="2" t="inlineStr">
        <is>
          <t>LOI - IPEC SA (08.06.2026) - CUI 47344051.docx</t>
        </is>
      </c>
      <c r="D283" s="2" t="inlineStr">
        <is>
          <t>.docx</t>
        </is>
      </c>
      <c r="E283" s="2" t="n">
        <v>9893</v>
      </c>
      <c r="F283" s="2" t="inlineStr">
        <is>
          <t>2026-07-30T16:56:26</t>
        </is>
      </c>
      <c r="G283" s="2" t="inlineStr">
        <is>
          <t>text Word integral</t>
        </is>
      </c>
      <c r="H283" s="2" t="inlineStr"/>
    </row>
    <row r="284">
      <c r="A284" s="2" t="inlineStr">
        <is>
          <t>\\192.168.100.169\Comun\00. Proiecte 2026 - SCRIEM</t>
        </is>
      </c>
      <c r="B284" s="2" t="inlineStr">
        <is>
          <t>\\192.168.100.169\Comun\00. Proiecte 2026 - SCRIEM\2026.09.30 Acțiunea 2.1 POCIDIF\P1. SRM DESIGN SRL\19. Dosar de depunere\1. Pregatit (in lucru)\Memoriu tehnic si de inovare - CUI 47344051.docx</t>
        </is>
      </c>
      <c r="C284" s="2" t="inlineStr">
        <is>
          <t>Memoriu tehnic si de inovare - CUI 47344051.docx</t>
        </is>
      </c>
      <c r="D284" s="2" t="inlineStr">
        <is>
          <t>.docx</t>
        </is>
      </c>
      <c r="E284" s="2" t="n">
        <v>18936</v>
      </c>
      <c r="F284" s="2" t="inlineStr">
        <is>
          <t>2026-07-30T16:56:26</t>
        </is>
      </c>
      <c r="G284" s="2" t="inlineStr">
        <is>
          <t>text Word integral</t>
        </is>
      </c>
      <c r="H284" s="2" t="inlineStr"/>
    </row>
    <row r="285">
      <c r="A285" s="2" t="inlineStr">
        <is>
          <t>\\192.168.100.169\Comun\00. Proiecte 2026 - SCRIEM</t>
        </is>
      </c>
      <c r="B285" s="2" t="inlineStr">
        <is>
          <t>\\192.168.100.169\Comun\00. Proiecte 2026 - SCRIEM\2026.09.30 Acțiunea 2.1 POCIDIF\P1. SRM DESIGN SRL\19. Dosar de depunere\1. Pregatit (in lucru)\Protocol pilot - IPEC SA (08.06.2026) - CUI 47344051.docx</t>
        </is>
      </c>
      <c r="C285" s="2" t="inlineStr">
        <is>
          <t>Protocol pilot - IPEC SA (08.06.2026) - CUI 47344051.docx</t>
        </is>
      </c>
      <c r="D285" s="2" t="inlineStr">
        <is>
          <t>.docx</t>
        </is>
      </c>
      <c r="E285" s="2" t="n">
        <v>10550</v>
      </c>
      <c r="F285" s="2" t="inlineStr">
        <is>
          <t>2026-07-30T16:56:27</t>
        </is>
      </c>
      <c r="G285" s="2" t="inlineStr">
        <is>
          <t>text Word integral</t>
        </is>
      </c>
      <c r="H285" s="2" t="inlineStr"/>
    </row>
    <row r="286">
      <c r="A286" s="2" t="inlineStr">
        <is>
          <t>\\192.168.100.169\Comun\00. Proiecte 2026 - SCRIEM</t>
        </is>
      </c>
      <c r="B286" s="2" t="inlineStr">
        <is>
          <t>\\192.168.100.169\Comun\00. Proiecte 2026 - SCRIEM\2026.09.30 Acțiunea 2.1 POCIDIF\P1. SRM DESIGN SRL\19. Dosar de depunere\1. Pregatit (in lucru)\Registru intrebari deschise si riscuri - CUI 47344051.docx</t>
        </is>
      </c>
      <c r="C286" s="2" t="inlineStr">
        <is>
          <t>Registru intrebari deschise si riscuri - CUI 47344051.docx</t>
        </is>
      </c>
      <c r="D286" s="2" t="inlineStr">
        <is>
          <t>.docx</t>
        </is>
      </c>
      <c r="E286" s="2" t="n">
        <v>15244</v>
      </c>
      <c r="F286" s="2" t="inlineStr">
        <is>
          <t>2026-07-30T16:56:27</t>
        </is>
      </c>
      <c r="G286" s="2" t="inlineStr">
        <is>
          <t>text Word integral</t>
        </is>
      </c>
      <c r="H286" s="2" t="inlineStr"/>
    </row>
    <row r="287">
      <c r="A287" s="2" t="inlineStr">
        <is>
          <t>\\192.168.100.169\Comun\00. Proiecte 2026 - SCRIEM</t>
        </is>
      </c>
      <c r="B287" s="2" t="inlineStr">
        <is>
          <t>\\192.168.100.169\Comun\00. Proiecte 2026 - SCRIEM\2026.09.30 Acțiunea 2.1 POCIDIF\P1. SRM DESIGN SRL\20. Clarificari (evaluare)\_Ce contine acest capitol.txt</t>
        </is>
      </c>
      <c r="C287" s="2" t="inlineStr">
        <is>
          <t>_Ce contine acest capitol.txt</t>
        </is>
      </c>
      <c r="D287" s="2" t="inlineStr">
        <is>
          <t>.txt</t>
        </is>
      </c>
      <c r="E287" s="2" t="n">
        <v>249</v>
      </c>
      <c r="F287" s="2" t="inlineStr">
        <is>
          <t>2026-07-30T17:07:41</t>
        </is>
      </c>
      <c r="G287" s="2" t="inlineStr">
        <is>
          <t>text integral</t>
        </is>
      </c>
      <c r="H287" s="2" t="inlineStr"/>
    </row>
    <row r="288">
      <c r="A288" s="2" t="inlineStr">
        <is>
          <t>\\192.168.100.169\Comun\00. Proiecte 2026 - SCRIEM</t>
        </is>
      </c>
      <c r="B288" s="2" t="inlineStr">
        <is>
          <t>\\192.168.100.169\Comun\00. Proiecte 2026 - SCRIEM\2026.09.30 Acțiunea 2.1 POCIDIF\P1. SRM DESIGN SRL\30. Contractare\_Ce contine acest capitol.txt</t>
        </is>
      </c>
      <c r="C288" s="2" t="inlineStr">
        <is>
          <t>_Ce contine acest capitol.txt</t>
        </is>
      </c>
      <c r="D288" s="2" t="inlineStr">
        <is>
          <t>.txt</t>
        </is>
      </c>
      <c r="E288" s="2" t="n">
        <v>288</v>
      </c>
      <c r="F288" s="2" t="inlineStr">
        <is>
          <t>2026-07-30T17:07:41</t>
        </is>
      </c>
      <c r="G288" s="2" t="inlineStr">
        <is>
          <t>text integral</t>
        </is>
      </c>
      <c r="H288" s="2" t="inlineStr"/>
    </row>
    <row r="289">
      <c r="A289" s="2" t="inlineStr">
        <is>
          <t>\\192.168.100.169\Comun\00. Proiecte 2026 - SCRIEM</t>
        </is>
      </c>
      <c r="B289" s="2" t="inlineStr">
        <is>
          <t>\\192.168.100.169\Comun\00. Proiecte 2026 - SCRIEM\2026.09.30 Acțiunea 2.1 POCIDIF\P1. SRM DESIGN SRL\40. Implementare\_Ce contine acest capitol.txt</t>
        </is>
      </c>
      <c r="C289" s="2" t="inlineStr">
        <is>
          <t>_Ce contine acest capitol.txt</t>
        </is>
      </c>
      <c r="D289" s="2" t="inlineStr">
        <is>
          <t>.txt</t>
        </is>
      </c>
      <c r="E289" s="2" t="n">
        <v>175</v>
      </c>
      <c r="F289" s="2" t="inlineStr">
        <is>
          <t>2026-07-30T17:07:41</t>
        </is>
      </c>
      <c r="G289" s="2" t="inlineStr">
        <is>
          <t>text integral</t>
        </is>
      </c>
      <c r="H289" s="2" t="inlineStr"/>
    </row>
    <row r="290">
      <c r="A290" s="2" t="inlineStr">
        <is>
          <t>\\192.168.100.169\Comun\00. Proiecte 2026 - SCRIEM</t>
        </is>
      </c>
      <c r="B290" s="2" t="inlineStr">
        <is>
          <t>\\192.168.100.169\Comun\00. Proiecte 2026 - SCRIEM\2026.09.30 Acțiunea 2.1 POCIDIF\P1. SRM DESIGN SRL\50. Cereri de plata si rambursare\_Ce contine acest capitol.txt</t>
        </is>
      </c>
      <c r="C290" s="2" t="inlineStr">
        <is>
          <t>_Ce contine acest capitol.txt</t>
        </is>
      </c>
      <c r="D290" s="2" t="inlineStr">
        <is>
          <t>.txt</t>
        </is>
      </c>
      <c r="E290" s="2" t="n">
        <v>269</v>
      </c>
      <c r="F290" s="2" t="inlineStr">
        <is>
          <t>2026-07-30T17:07:41</t>
        </is>
      </c>
      <c r="G290" s="2" t="inlineStr">
        <is>
          <t>text integral</t>
        </is>
      </c>
      <c r="H290" s="2" t="inlineStr"/>
    </row>
    <row r="291">
      <c r="A291" s="2" t="inlineStr">
        <is>
          <t>\\192.168.100.169\Comun\00. Proiecte 2026 - SCRIEM</t>
        </is>
      </c>
      <c r="B291" s="2" t="inlineStr">
        <is>
          <t>\\192.168.100.169\Comun\00. Proiecte 2026 - SCRIEM\2026.09.30 Acțiunea 2.1 POCIDIF\P1. SRM DESIGN SRL\60. Monitorizare si durabilitate\_Ce contine acest capitol.txt</t>
        </is>
      </c>
      <c r="C291" s="2" t="inlineStr">
        <is>
          <t>_Ce contine acest capitol.txt</t>
        </is>
      </c>
      <c r="D291" s="2" t="inlineStr">
        <is>
          <t>.txt</t>
        </is>
      </c>
      <c r="E291" s="2" t="n">
        <v>269</v>
      </c>
      <c r="F291" s="2" t="inlineStr">
        <is>
          <t>2026-07-30T17:07:41</t>
        </is>
      </c>
      <c r="G291" s="2" t="inlineStr">
        <is>
          <t>text integral</t>
        </is>
      </c>
      <c r="H291" s="2" t="inlineStr"/>
    </row>
    <row r="292">
      <c r="A292" s="2" t="inlineStr">
        <is>
          <t>\\192.168.100.169\Comun\00. Proiecte 2026 - SCRIEM</t>
        </is>
      </c>
      <c r="B292" s="2" t="inlineStr">
        <is>
          <t>\\192.168.100.169\Comun\00. Proiecte 2026 - SCRIEM\2026.09.30 Acțiunea 2.1 POCIDIF\P1. SRM DESIGN SRL\90. Arhiva\_Ce contine acest capitol.txt</t>
        </is>
      </c>
      <c r="C292" s="2" t="inlineStr">
        <is>
          <t>_Ce contine acest capitol.txt</t>
        </is>
      </c>
      <c r="D292" s="2" t="inlineStr">
        <is>
          <t>.txt</t>
        </is>
      </c>
      <c r="E292" s="2" t="n">
        <v>165</v>
      </c>
      <c r="F292" s="2" t="inlineStr">
        <is>
          <t>2026-07-30T17:07:41</t>
        </is>
      </c>
      <c r="G292" s="2" t="inlineStr">
        <is>
          <t>text integral</t>
        </is>
      </c>
      <c r="H292" s="2" t="inlineStr"/>
    </row>
    <row r="293">
      <c r="A293" s="2" t="inlineStr">
        <is>
          <t>\\192.168.100.169\Comun\00. Proiecte 2026</t>
        </is>
      </c>
      <c r="B293" s="2" t="inlineStr">
        <is>
          <t>\\192.168.100.169\Comun\00. Proiecte 2026\2026.06.25 Registru_finantari_SRL_ferma_industrie_alimentara_ONG.docx</t>
        </is>
      </c>
      <c r="C293" s="2" t="inlineStr">
        <is>
          <t>2026.06.25 Registru_finantari_SRL_ferma_industrie_alimentara_ONG.docx</t>
        </is>
      </c>
      <c r="D293" s="2" t="inlineStr">
        <is>
          <t>.docx</t>
        </is>
      </c>
      <c r="E293" s="2" t="n">
        <v>70728</v>
      </c>
      <c r="F293" s="2" t="inlineStr">
        <is>
          <t>2026-07-01T15:53:46</t>
        </is>
      </c>
      <c r="G293" s="2" t="inlineStr">
        <is>
          <t>text Word integral</t>
        </is>
      </c>
      <c r="H293" s="2" t="inlineStr"/>
    </row>
    <row r="294">
      <c r="A294" s="2" t="inlineStr">
        <is>
          <t>\\192.168.100.169\Comun\00. Proiecte 2026</t>
        </is>
      </c>
      <c r="B294" s="2" t="inlineStr">
        <is>
          <t>\\192.168.100.169\Comun\00. Proiecte 2026\2026.07.01 Program finantare ONG.docx</t>
        </is>
      </c>
      <c r="C294" s="2" t="inlineStr">
        <is>
          <t>2026.07.01 Program finantare ONG.docx</t>
        </is>
      </c>
      <c r="D294" s="2" t="inlineStr">
        <is>
          <t>.docx</t>
        </is>
      </c>
      <c r="E294" s="2" t="n">
        <v>16069</v>
      </c>
      <c r="F294" s="2" t="inlineStr">
        <is>
          <t>2026-07-01T16:00:29</t>
        </is>
      </c>
      <c r="G294" s="2" t="inlineStr">
        <is>
          <t>text Word integral</t>
        </is>
      </c>
      <c r="H294" s="2" t="inlineStr"/>
    </row>
    <row r="295">
      <c r="A295" s="2" t="inlineStr">
        <is>
          <t>\\192.168.100.169\Comun\00. Proiecte 2026</t>
        </is>
      </c>
      <c r="B295" s="2" t="inlineStr">
        <is>
          <t>\\192.168.100.169\Comun\00. Proiecte 2026\Documentatie_si_depunere_finantari_UE_LINA_2026.xlsx</t>
        </is>
      </c>
      <c r="C295" s="2" t="inlineStr">
        <is>
          <t>Documentatie_si_depunere_finantari_UE_LINA_2026.xlsx</t>
        </is>
      </c>
      <c r="D295" s="2" t="inlineStr">
        <is>
          <t>.xlsx</t>
        </is>
      </c>
      <c r="E295" s="2" t="n">
        <v>24477</v>
      </c>
      <c r="F295" s="2" t="inlineStr">
        <is>
          <t>2026-07-23T09:13:22</t>
        </is>
      </c>
      <c r="G295" s="2" t="inlineStr">
        <is>
          <t>valori Excel; fără obiecte încorporate</t>
        </is>
      </c>
      <c r="H295" s="2" t="inlineStr"/>
    </row>
    <row r="296">
      <c r="A296" s="2" t="inlineStr">
        <is>
          <t>\\192.168.100.169\Comun\00. Proiecte 2026</t>
        </is>
      </c>
      <c r="B296" s="2" t="inlineStr">
        <is>
          <t>\\192.168.100.169\Comun\00. Proiecte 2026\Finantari_UE_LINA_2026.xlsx</t>
        </is>
      </c>
      <c r="C296" s="2" t="inlineStr">
        <is>
          <t>Finantari_UE_LINA_2026.xlsx</t>
        </is>
      </c>
      <c r="D296" s="2" t="inlineStr">
        <is>
          <t>.xlsx</t>
        </is>
      </c>
      <c r="E296" s="2" t="n">
        <v>37879</v>
      </c>
      <c r="F296" s="2" t="inlineStr">
        <is>
          <t>2026-07-23T09:16:41</t>
        </is>
      </c>
      <c r="G296" s="2" t="inlineStr">
        <is>
          <t>valori Excel; fără obiecte încorporate</t>
        </is>
      </c>
      <c r="H296" s="2" t="inlineStr"/>
    </row>
    <row r="297">
      <c r="A297" s="2" t="inlineStr">
        <is>
          <t>\\192.168.100.169\Comun\00. Proiecte 2026</t>
        </is>
      </c>
      <c r="B297" s="2" t="inlineStr">
        <is>
          <t>\\192.168.100.169\Comun\00. Proiecte 2026\14.08.2026 - Schemă Energie Autoconsum V7 - iunie 2026\Ghidul Solicitantului Schemă Energie Autoconsum V7 - iunie 2026.pdf</t>
        </is>
      </c>
      <c r="C297" s="2" t="inlineStr">
        <is>
          <t>Ghidul Solicitantului Schemă Energie Autoconsum V7 - iunie 2026.pdf</t>
        </is>
      </c>
      <c r="D297" s="2" t="inlineStr">
        <is>
          <t>.pdf</t>
        </is>
      </c>
      <c r="E297" s="2" t="n">
        <v>19937877</v>
      </c>
      <c r="F297" s="2" t="inlineStr">
        <is>
          <t>2026-07-03T14:46:26</t>
        </is>
      </c>
      <c r="G297" s="2" t="inlineStr">
        <is>
          <t>PDF fără text extractibil; OCR necesar</t>
        </is>
      </c>
      <c r="H297" s="2" t="inlineStr"/>
    </row>
    <row r="298">
      <c r="A298" s="2" t="inlineStr">
        <is>
          <t>\\192.168.100.169\Comun\00. Proiecte 2026</t>
        </is>
      </c>
      <c r="B298" s="2" t="inlineStr">
        <is>
          <t>\\192.168.100.169\Comun\00. Proiecte 2026\14.08.2026 - Schemă Energie Autoconsum V7 - iunie 2026\INDRUMAR Achizitii Privati ENERGIE E.1 Rev.0 2026.pdf</t>
        </is>
      </c>
      <c r="C298" s="2" t="inlineStr">
        <is>
          <t>INDRUMAR Achizitii Privati ENERGIE E.1 Rev.0 2026.pdf</t>
        </is>
      </c>
      <c r="D298" s="2" t="inlineStr">
        <is>
          <t>.pdf</t>
        </is>
      </c>
      <c r="E298" s="2" t="n">
        <v>374896</v>
      </c>
      <c r="F298" s="2" t="inlineStr">
        <is>
          <t>2026-07-03T14:46:25</t>
        </is>
      </c>
      <c r="G298" s="2" t="inlineStr">
        <is>
          <t>text PDF integral</t>
        </is>
      </c>
      <c r="H298" s="2" t="inlineStr"/>
    </row>
    <row r="299">
      <c r="A299" s="2" t="inlineStr">
        <is>
          <t>\\192.168.100.169\Comun\00. Proiecte 2026</t>
        </is>
      </c>
      <c r="B299" s="2" t="inlineStr">
        <is>
          <t>\\192.168.100.169\Comun\00. Proiecte 2026\2025.09.25(pana la epuizare fonduri) -SRL  IMM  CDI - P1 – 1.2.1 -Participarea IMM și organizațiilor de CDI în structuri, parteneriate și programe de colaborare\conditii eligibilitate.docx</t>
        </is>
      </c>
      <c r="C299" s="2" t="inlineStr">
        <is>
          <t>conditii eligibilitate.docx</t>
        </is>
      </c>
      <c r="D299" s="2" t="inlineStr">
        <is>
          <t>.docx</t>
        </is>
      </c>
      <c r="E299" s="2" t="n">
        <v>30584</v>
      </c>
      <c r="F299" s="2" t="inlineStr">
        <is>
          <t>2026-06-26T13:08:25</t>
        </is>
      </c>
      <c r="G299" s="2" t="inlineStr">
        <is>
          <t>text Word integral</t>
        </is>
      </c>
      <c r="H299" s="2" t="inlineStr"/>
    </row>
    <row r="300">
      <c r="A300" s="2" t="inlineStr">
        <is>
          <t>\\192.168.100.169\Comun\00. Proiecte 2026</t>
        </is>
      </c>
      <c r="B300" s="2" t="inlineStr">
        <is>
          <t>\\192.168.100.169\Comun\00. Proiecte 2026\2025.09.25(pana la epuizare fonduri) -SRL  IMM  CDI - P1 – 1.2.1 -Participarea IMM și organizațiilor de CDI în structuri, parteneriate și programe de colaborare\1. documente oficiale\Corrigendum-1-–-Interventia-1.2.1.pdf</t>
        </is>
      </c>
      <c r="C300" s="2" t="inlineStr">
        <is>
          <t>Corrigendum-1-–-Interventia-1.2.1.pdf</t>
        </is>
      </c>
      <c r="D300" s="2" t="inlineStr">
        <is>
          <t>.pdf</t>
        </is>
      </c>
      <c r="E300" s="2" t="n">
        <v>793505</v>
      </c>
      <c r="F300" s="2" t="inlineStr">
        <is>
          <t>2026-06-25T14:05:56</t>
        </is>
      </c>
      <c r="G300" s="2" t="inlineStr">
        <is>
          <t>text PDF integral</t>
        </is>
      </c>
      <c r="H300" s="2" t="inlineStr"/>
    </row>
    <row r="301">
      <c r="A301" s="2" t="inlineStr">
        <is>
          <t>\\192.168.100.169\Comun\00. Proiecte 2026</t>
        </is>
      </c>
      <c r="B301" s="2" t="inlineStr">
        <is>
          <t>\\192.168.100.169\Comun\00. Proiecte 2026\2025.09.25(pana la epuizare fonduri) -SRL  IMM  CDI - P1 – 1.2.1 -Participarea IMM și organizațiilor de CDI în structuri, parteneriate și programe de colaborare\1. documente oficiale\Ghidul-solicitantului-Interventia-1.2.1-.pdf</t>
        </is>
      </c>
      <c r="C301" s="2" t="inlineStr">
        <is>
          <t>Ghidul-solicitantului-Interventia-1.2.1-.pdf</t>
        </is>
      </c>
      <c r="D301" s="2" t="inlineStr">
        <is>
          <t>.pdf</t>
        </is>
      </c>
      <c r="E301" s="2" t="n">
        <v>1509267</v>
      </c>
      <c r="F301" s="2" t="inlineStr">
        <is>
          <t>2026-06-25T14:10:02</t>
        </is>
      </c>
      <c r="G301" s="2" t="inlineStr">
        <is>
          <t>text PDF integral</t>
        </is>
      </c>
      <c r="H301" s="2" t="inlineStr"/>
    </row>
    <row r="302">
      <c r="A302" s="2" t="inlineStr">
        <is>
          <t>\\192.168.100.169\Comun\00. Proiecte 2026</t>
        </is>
      </c>
      <c r="B302" s="2" t="inlineStr">
        <is>
          <t>\\192.168.100.169\Comun\00. Proiecte 2026\2025.09.25(pana la epuizare fonduri) -SRL  IMM  CDI - P1 – 1.2.1 -Participarea IMM și organizațiilor de CDI în structuri, parteneriate și programe de colaborare\1. documente oficiale\Sinteza-modificarilor-Corrigendum-1-–-Interventia-1.2.1.pdf</t>
        </is>
      </c>
      <c r="C302" s="2" t="inlineStr">
        <is>
          <t>Sinteza-modificarilor-Corrigendum-1-–-Interventia-1.2.1.pdf</t>
        </is>
      </c>
      <c r="D302" s="2" t="inlineStr">
        <is>
          <t>.pdf</t>
        </is>
      </c>
      <c r="E302" s="2" t="n">
        <v>812194</v>
      </c>
      <c r="F302" s="2" t="inlineStr">
        <is>
          <t>2026-06-25T14:09:54</t>
        </is>
      </c>
      <c r="G302" s="2" t="inlineStr">
        <is>
          <t>text PDF integral</t>
        </is>
      </c>
      <c r="H302" s="2" t="inlineStr"/>
    </row>
    <row r="303">
      <c r="A303" s="2" t="inlineStr">
        <is>
          <t>\\192.168.100.169\Comun\00. Proiecte 2026</t>
        </is>
      </c>
      <c r="B303" s="2" t="inlineStr">
        <is>
          <t>\\192.168.100.169\Comun\00. Proiecte 2026\2025.09.25(pana la epuizare fonduri) -SRL  IMM  CDI - P1 – 1.2.1 -Participarea IMM și organizațiilor de CDI în structuri, parteneriate și programe de colaborare\1. documente oficiale\anexe\Anexa 1 - Instructiuni de completare  CF 121.docx</t>
        </is>
      </c>
      <c r="C303" s="2" t="inlineStr">
        <is>
          <t>Anexa 1 - Instructiuni de completare  CF 121.docx</t>
        </is>
      </c>
      <c r="D303" s="2" t="inlineStr">
        <is>
          <t>.docx</t>
        </is>
      </c>
      <c r="E303" s="2" t="n">
        <v>6808140</v>
      </c>
      <c r="F303" s="2" t="inlineStr">
        <is>
          <t>2026-06-25T14:12:32</t>
        </is>
      </c>
      <c r="G303" s="2" t="inlineStr">
        <is>
          <t>text Word integral</t>
        </is>
      </c>
      <c r="H303" s="2" t="inlineStr"/>
    </row>
    <row r="304">
      <c r="A304" s="2" t="inlineStr">
        <is>
          <t>\\192.168.100.169\Comun\00. Proiecte 2026</t>
        </is>
      </c>
      <c r="B304" s="2" t="inlineStr">
        <is>
          <t>\\192.168.100.169\Comun\00. Proiecte 2026\2025.09.25(pana la epuizare fonduri) -SRL  IMM  CDI - P1 – 1.2.1 -Participarea IMM și organizațiilor de CDI în structuri, parteneriate și programe de colaborare\1. documente oficiale\anexe\Anexa 10 - Declarație privind ajutoarele de stat și minimis primite- 121.docx</t>
        </is>
      </c>
      <c r="C304" s="2" t="inlineStr">
        <is>
          <t>Anexa 10 - Declarație privind ajutoarele de stat și minimis primite- 121.docx</t>
        </is>
      </c>
      <c r="D304" s="2" t="inlineStr">
        <is>
          <t>.docx</t>
        </is>
      </c>
      <c r="E304" s="2" t="n">
        <v>915093</v>
      </c>
      <c r="F304" s="2" t="inlineStr">
        <is>
          <t>2026-06-25T14:12:32</t>
        </is>
      </c>
      <c r="G304" s="2" t="inlineStr">
        <is>
          <t>text Word integral</t>
        </is>
      </c>
      <c r="H304" s="2" t="inlineStr"/>
    </row>
    <row r="305">
      <c r="A305" s="2" t="inlineStr">
        <is>
          <t>\\192.168.100.169\Comun\00. Proiecte 2026</t>
        </is>
      </c>
      <c r="B305" s="2" t="inlineStr">
        <is>
          <t>\\192.168.100.169\Comun\00. Proiecte 2026\2025.09.25(pana la epuizare fonduri) -SRL  IMM  CDI - P1 – 1.2.1 -Participarea IMM și organizațiilor de CDI în structuri, parteneriate și programe de colaborare\1. documente oficiale\anexe\Anexa 11 - Model hotărâre AGA.docx</t>
        </is>
      </c>
      <c r="C305" s="2" t="inlineStr">
        <is>
          <t>Anexa 11 - Model hotărâre AGA.docx</t>
        </is>
      </c>
      <c r="D305" s="2" t="inlineStr">
        <is>
          <t>.docx</t>
        </is>
      </c>
      <c r="E305" s="2" t="n">
        <v>909766</v>
      </c>
      <c r="F305" s="2" t="inlineStr">
        <is>
          <t>2026-06-25T14:12:32</t>
        </is>
      </c>
      <c r="G305" s="2" t="inlineStr">
        <is>
          <t>text Word integral</t>
        </is>
      </c>
      <c r="H305" s="2" t="inlineStr"/>
    </row>
    <row r="306">
      <c r="A306" s="2" t="inlineStr">
        <is>
          <t>\\192.168.100.169\Comun\00. Proiecte 2026</t>
        </is>
      </c>
      <c r="B306" s="2" t="inlineStr">
        <is>
          <t>\\192.168.100.169\Comun\00. Proiecte 2026\2025.09.25(pana la epuizare fonduri) -SRL  IMM  CDI - P1 – 1.2.1 -Participarea IMM și organizațiilor de CDI în structuri, parteneriate și programe de colaborare\1. documente oficiale\anexe\Anexa 12 - Planul de monitorizare.docx</t>
        </is>
      </c>
      <c r="C306" s="2" t="inlineStr">
        <is>
          <t>Anexa 12 - Planul de monitorizare.docx</t>
        </is>
      </c>
      <c r="D306" s="2" t="inlineStr">
        <is>
          <t>.docx</t>
        </is>
      </c>
      <c r="E306" s="2" t="n">
        <v>838748</v>
      </c>
      <c r="F306" s="2" t="inlineStr">
        <is>
          <t>2026-06-25T14:12:32</t>
        </is>
      </c>
      <c r="G306" s="2" t="inlineStr">
        <is>
          <t>text Word integral</t>
        </is>
      </c>
      <c r="H306" s="2" t="inlineStr"/>
    </row>
    <row r="307">
      <c r="A307" s="2" t="inlineStr">
        <is>
          <t>\\192.168.100.169\Comun\00. Proiecte 2026</t>
        </is>
      </c>
      <c r="B307" s="2" t="inlineStr">
        <is>
          <t>\\192.168.100.169\Comun\00. Proiecte 2026\2025.09.25(pana la epuizare fonduri) -SRL  IMM  CDI - P1 – 1.2.1 -Participarea IMM și organizațiilor de CDI în structuri, parteneriate și programe de colaborare\1. documente oficiale\anexe\Anexa 13- Contract de finantare_conditii generale si specifice-121.docx</t>
        </is>
      </c>
      <c r="C307" s="2" t="inlineStr">
        <is>
          <t>Anexa 13- Contract de finantare_conditii generale si specifice-121.docx</t>
        </is>
      </c>
      <c r="D307" s="2" t="inlineStr">
        <is>
          <t>.docx</t>
        </is>
      </c>
      <c r="E307" s="2" t="n">
        <v>970400</v>
      </c>
      <c r="F307" s="2" t="inlineStr">
        <is>
          <t>2026-06-25T14:12:32</t>
        </is>
      </c>
      <c r="G307" s="2" t="inlineStr">
        <is>
          <t>text Word integral</t>
        </is>
      </c>
      <c r="H307" s="2" t="inlineStr"/>
    </row>
    <row r="308">
      <c r="A308" s="2" t="inlineStr">
        <is>
          <t>\\192.168.100.169\Comun\00. Proiecte 2026</t>
        </is>
      </c>
      <c r="B308" s="2" t="inlineStr">
        <is>
          <t>\\192.168.100.169\Comun\00. Proiecte 2026\2025.09.25(pana la epuizare fonduri) -SRL  IMM  CDI - P1 – 1.2.1 -Participarea IMM și organizațiilor de CDI în structuri, parteneriate și programe de colaborare\1. documente oficiale\anexe\Anexa 14-Calendarul implementării proiectului.docx</t>
        </is>
      </c>
      <c r="C308" s="2" t="inlineStr">
        <is>
          <t>Anexa 14-Calendarul implementării proiectului.docx</t>
        </is>
      </c>
      <c r="D308" s="2" t="inlineStr">
        <is>
          <t>.docx</t>
        </is>
      </c>
      <c r="E308" s="2" t="n">
        <v>905527</v>
      </c>
      <c r="F308" s="2" t="inlineStr">
        <is>
          <t>2026-06-25T14:12:32</t>
        </is>
      </c>
      <c r="G308" s="2" t="inlineStr">
        <is>
          <t>text Word integral</t>
        </is>
      </c>
      <c r="H308" s="2" t="inlineStr"/>
    </row>
    <row r="309">
      <c r="A309" s="2" t="inlineStr">
        <is>
          <t>\\192.168.100.169\Comun\00. Proiecte 2026</t>
        </is>
      </c>
      <c r="B309" s="2" t="inlineStr">
        <is>
          <t>\\192.168.100.169\Comun\00. Proiecte 2026\2025.09.25(pana la epuizare fonduri) -SRL  IMM  CDI - P1 – 1.2.1 -Participarea IMM și organizațiilor de CDI în structuri, parteneriate și programe de colaborare\1. documente oficiale\anexe\Anexa 2 - Declaratie Unica.docx</t>
        </is>
      </c>
      <c r="C309" s="2" t="inlineStr">
        <is>
          <t>Anexa 2 - Declaratie Unica.docx</t>
        </is>
      </c>
      <c r="D309" s="2" t="inlineStr">
        <is>
          <t>.docx</t>
        </is>
      </c>
      <c r="E309" s="2" t="n">
        <v>918798</v>
      </c>
      <c r="F309" s="2" t="inlineStr">
        <is>
          <t>2026-06-25T14:12:32</t>
        </is>
      </c>
      <c r="G309" s="2" t="inlineStr">
        <is>
          <t>text Word integral</t>
        </is>
      </c>
      <c r="H309" s="2" t="inlineStr"/>
    </row>
    <row r="310">
      <c r="A310" s="2" t="inlineStr">
        <is>
          <t>\\192.168.100.169\Comun\00. Proiecte 2026</t>
        </is>
      </c>
      <c r="B310" s="2" t="inlineStr">
        <is>
          <t>\\192.168.100.169\Comun\00. Proiecte 2026\2025.09.25(pana la epuizare fonduri) -SRL  IMM  CDI - P1 – 1.2.1 -Participarea IMM și organizațiilor de CDI în structuri, parteneriate și programe de colaborare\1. documente oficiale\anexe\Anexa 3 - Grila ETF-121_v1.docx</t>
        </is>
      </c>
      <c r="C310" s="2" t="inlineStr">
        <is>
          <t>Anexa 3 - Grila ETF-121_v1.docx</t>
        </is>
      </c>
      <c r="D310" s="2" t="inlineStr">
        <is>
          <t>.docx</t>
        </is>
      </c>
      <c r="E310" s="2" t="n">
        <v>850027</v>
      </c>
      <c r="F310" s="2" t="inlineStr">
        <is>
          <t>2026-06-25T14:12:32</t>
        </is>
      </c>
      <c r="G310" s="2" t="inlineStr">
        <is>
          <t>text Word integral</t>
        </is>
      </c>
      <c r="H310" s="2" t="inlineStr"/>
    </row>
    <row r="311">
      <c r="A311" s="2" t="inlineStr">
        <is>
          <t>\\192.168.100.169\Comun\00. Proiecte 2026</t>
        </is>
      </c>
      <c r="B311" s="2" t="inlineStr">
        <is>
          <t>\\192.168.100.169\Comun\00. Proiecte 2026\2025.09.25(pana la epuizare fonduri) -SRL  IMM  CDI - P1 – 1.2.1 -Participarea IMM și organizațiilor de CDI în structuri, parteneriate și programe de colaborare\1. documente oficiale\anexe\Anexa 4- Grila verificare eligibilitate contractare.docx</t>
        </is>
      </c>
      <c r="C311" s="2" t="inlineStr">
        <is>
          <t>Anexa 4- Grila verificare eligibilitate contractare.docx</t>
        </is>
      </c>
      <c r="D311" s="2" t="inlineStr">
        <is>
          <t>.docx</t>
        </is>
      </c>
      <c r="E311" s="2" t="n">
        <v>708555</v>
      </c>
      <c r="F311" s="2" t="inlineStr">
        <is>
          <t>2026-06-25T14:12:32</t>
        </is>
      </c>
      <c r="G311" s="2" t="inlineStr">
        <is>
          <t>text Word integral</t>
        </is>
      </c>
      <c r="H311" s="2" t="inlineStr"/>
    </row>
    <row r="312">
      <c r="A312" s="2" t="inlineStr">
        <is>
          <t>\\192.168.100.169\Comun\00. Proiecte 2026</t>
        </is>
      </c>
      <c r="B312" s="2" t="inlineStr">
        <is>
          <t>\\192.168.100.169\Comun\00. Proiecte 2026\2025.09.25(pana la epuizare fonduri) -SRL  IMM  CDI - P1 – 1.2.1 -Participarea IMM și organizațiilor de CDI în structuri, parteneriate și programe de colaborare\1. documente oficiale\anexe\Anexa 5- Plan de implementare.docx</t>
        </is>
      </c>
      <c r="C312" s="2" t="inlineStr">
        <is>
          <t>Anexa 5- Plan de implementare.docx</t>
        </is>
      </c>
      <c r="D312" s="2" t="inlineStr">
        <is>
          <t>.docx</t>
        </is>
      </c>
      <c r="E312" s="2" t="n">
        <v>916681</v>
      </c>
      <c r="F312" s="2" t="inlineStr">
        <is>
          <t>2026-06-25T14:12:32</t>
        </is>
      </c>
      <c r="G312" s="2" t="inlineStr">
        <is>
          <t>text Word integral</t>
        </is>
      </c>
      <c r="H312" s="2" t="inlineStr"/>
    </row>
    <row r="313">
      <c r="A313" s="2" t="inlineStr">
        <is>
          <t>\\192.168.100.169\Comun\00. Proiecte 2026</t>
        </is>
      </c>
      <c r="B313" s="2" t="inlineStr">
        <is>
          <t>\\192.168.100.169\Comun\00. Proiecte 2026\2025.09.25(pana la epuizare fonduri) -SRL  IMM  CDI - P1 – 1.2.1 -Participarea IMM și organizațiilor de CDI în structuri, parteneriate și programe de colaborare\1. documente oficiale\anexe\Anexa 6- Macheta financiară1.2.1.xlsx</t>
        </is>
      </c>
      <c r="C313" s="2" t="inlineStr">
        <is>
          <t>Anexa 6- Macheta financiară1.2.1.xlsx</t>
        </is>
      </c>
      <c r="D313" s="2" t="inlineStr">
        <is>
          <t>.xlsx</t>
        </is>
      </c>
      <c r="E313" s="2" t="n">
        <v>136978</v>
      </c>
      <c r="F313" s="2" t="inlineStr">
        <is>
          <t>2026-06-25T14:12:32</t>
        </is>
      </c>
      <c r="G313" s="2" t="inlineStr">
        <is>
          <t>valori Excel; fără obiecte încorporate</t>
        </is>
      </c>
      <c r="H313" s="2" t="inlineStr"/>
    </row>
    <row r="314">
      <c r="A314" s="2" t="inlineStr">
        <is>
          <t>\\192.168.100.169\Comun\00. Proiecte 2026</t>
        </is>
      </c>
      <c r="B314" s="2" t="inlineStr">
        <is>
          <t>\\192.168.100.169\Comun\00. Proiecte 2026\2025.09.25(pana la epuizare fonduri) -SRL  IMM  CDI - P1 – 1.2.1 -Participarea IMM și organizațiilor de CDI în structuri, parteneriate și programe de colaborare\1. documente oficiale\anexe\Anexa 7- Declaraţie privind încadrarea întreprinderii în categoria IMM- 121.docx</t>
        </is>
      </c>
      <c r="C314" s="2" t="inlineStr">
        <is>
          <t>Anexa 7- Declaraţie privind încadrarea întreprinderii în categoria IMM- 121.docx</t>
        </is>
      </c>
      <c r="D314" s="2" t="inlineStr">
        <is>
          <t>.docx</t>
        </is>
      </c>
      <c r="E314" s="2" t="n">
        <v>917220</v>
      </c>
      <c r="F314" s="2" t="inlineStr">
        <is>
          <t>2026-06-25T14:12:32</t>
        </is>
      </c>
      <c r="G314" s="2" t="inlineStr">
        <is>
          <t>text Word integral</t>
        </is>
      </c>
      <c r="H314" s="2" t="inlineStr"/>
    </row>
    <row r="315">
      <c r="A315" s="2" t="inlineStr">
        <is>
          <t>\\192.168.100.169\Comun\00. Proiecte 2026</t>
        </is>
      </c>
      <c r="B315" s="2" t="inlineStr">
        <is>
          <t>\\192.168.100.169\Comun\00. Proiecte 2026\2025.09.25(pana la epuizare fonduri) -SRL  IMM  CDI - P1 – 1.2.1 -Participarea IMM și organizațiilor de CDI în structuri, parteneriate și programe de colaborare\1. documente oficiale\anexe\Anexa 7a- Incadrarea in categoriile IMM- 121.docx</t>
        </is>
      </c>
      <c r="C315" s="2" t="inlineStr">
        <is>
          <t>Anexa 7a- Incadrarea in categoriile IMM- 121.docx</t>
        </is>
      </c>
      <c r="D315" s="2" t="inlineStr">
        <is>
          <t>.docx</t>
        </is>
      </c>
      <c r="E315" s="2" t="n">
        <v>1143453</v>
      </c>
      <c r="F315" s="2" t="inlineStr">
        <is>
          <t>2026-06-25T14:12:32</t>
        </is>
      </c>
      <c r="G315" s="2" t="inlineStr">
        <is>
          <t>text Word integral</t>
        </is>
      </c>
      <c r="H315" s="2" t="inlineStr"/>
    </row>
    <row r="316">
      <c r="A316" s="2" t="inlineStr">
        <is>
          <t>\\192.168.100.169\Comun\00. Proiecte 2026</t>
        </is>
      </c>
      <c r="B316" s="2" t="inlineStr">
        <is>
          <t>\\192.168.100.169\Comun\00. Proiecte 2026\2025.09.25(pana la epuizare fonduri) -SRL  IMM  CDI - P1 – 1.2.1 -Participarea IMM și organizațiilor de CDI în structuri, parteneriate și programe de colaborare\1. documente oficiale\anexe\Anexa 8- Declaratie privind eligibilitatea TVA.docx</t>
        </is>
      </c>
      <c r="C316" s="2" t="inlineStr">
        <is>
          <t>Anexa 8- Declaratie privind eligibilitatea TVA.docx</t>
        </is>
      </c>
      <c r="D316" s="2" t="inlineStr">
        <is>
          <t>.docx</t>
        </is>
      </c>
      <c r="E316" s="2" t="n">
        <v>913628</v>
      </c>
      <c r="F316" s="2" t="inlineStr">
        <is>
          <t>2026-06-25T14:12:32</t>
        </is>
      </c>
      <c r="G316" s="2" t="inlineStr">
        <is>
          <t>text Word integral</t>
        </is>
      </c>
      <c r="H316" s="2" t="inlineStr"/>
    </row>
    <row r="317">
      <c r="A317" s="2" t="inlineStr">
        <is>
          <t>\\192.168.100.169\Comun\00. Proiecte 2026</t>
        </is>
      </c>
      <c r="B317" s="2" t="inlineStr">
        <is>
          <t>\\192.168.100.169\Comun\00. Proiecte 2026\2025.09.25(pana la epuizare fonduri) -SRL  IMM  CDI - P1 – 1.2.1 -Participarea IMM și organizațiilor de CDI în structuri, parteneriate și programe de colaborare\1. documente oficiale\anexe\Anexa 9 - Declarație conformitate documente încărcate în MySMIS-121.docx</t>
        </is>
      </c>
      <c r="C317" s="2" t="inlineStr">
        <is>
          <t>Anexa 9 - Declarație conformitate documente încărcate în MySMIS-121.docx</t>
        </is>
      </c>
      <c r="D317" s="2" t="inlineStr">
        <is>
          <t>.docx</t>
        </is>
      </c>
      <c r="E317" s="2" t="n">
        <v>899615</v>
      </c>
      <c r="F317" s="2" t="inlineStr">
        <is>
          <t>2026-06-25T14:12:32</t>
        </is>
      </c>
      <c r="G317" s="2" t="inlineStr">
        <is>
          <t>text Word integral</t>
        </is>
      </c>
      <c r="H317" s="2" t="inlineStr"/>
    </row>
    <row r="318">
      <c r="A318" s="2" t="inlineStr">
        <is>
          <t>\\192.168.100.169\Comun\00. Proiecte 2026</t>
        </is>
      </c>
      <c r="B318" s="2" t="inlineStr">
        <is>
          <t>\\192.168.100.169\Comun\00. Proiecte 2026\2026.07.17 SRL ONG IN PARTENERIAT - P1 - 1.3.3 Platformă pilot de inovare deschisă\conditii eligibilitate.docx</t>
        </is>
      </c>
      <c r="C318" s="2" t="inlineStr">
        <is>
          <t>conditii eligibilitate.docx</t>
        </is>
      </c>
      <c r="D318" s="2" t="inlineStr">
        <is>
          <t>.docx</t>
        </is>
      </c>
      <c r="E318" s="2" t="n">
        <v>22530</v>
      </c>
      <c r="F318" s="2" t="inlineStr">
        <is>
          <t>2026-07-13T13:48:08</t>
        </is>
      </c>
      <c r="G318" s="2" t="inlineStr">
        <is>
          <t>text Word integral</t>
        </is>
      </c>
      <c r="H318" s="2" t="inlineStr"/>
    </row>
    <row r="319">
      <c r="A319" s="2" t="inlineStr">
        <is>
          <t>\\192.168.100.169\Comun\00. Proiecte 2026</t>
        </is>
      </c>
      <c r="B319" s="2" t="inlineStr">
        <is>
          <t>\\192.168.100.169\Comun\00. Proiecte 2026\2026.07.17 SRL ONG IN PARTENERIAT - P1 - 1.3.3 Platformă pilot de inovare deschisă\1.DOCUMENTE OFICIALE\Anexa 1 - Instructiuni de completare a formularului cererii de finantare_13 mai 2026.docx</t>
        </is>
      </c>
      <c r="C319" s="2" t="inlineStr">
        <is>
          <t>Anexa 1 - Instructiuni de completare a formularului cererii de finantare_13 mai 2026.docx</t>
        </is>
      </c>
      <c r="D319" s="2" t="inlineStr">
        <is>
          <t>.docx</t>
        </is>
      </c>
      <c r="E319" s="2" t="n">
        <v>7064359</v>
      </c>
      <c r="F319" s="2" t="inlineStr">
        <is>
          <t>2026-07-13T13:41:35</t>
        </is>
      </c>
      <c r="G319" s="2" t="inlineStr">
        <is>
          <t>text Word integral</t>
        </is>
      </c>
      <c r="H319" s="2" t="inlineStr"/>
    </row>
    <row r="320">
      <c r="A320" s="2" t="inlineStr">
        <is>
          <t>\\192.168.100.169\Comun\00. Proiecte 2026</t>
        </is>
      </c>
      <c r="B320" s="2" t="inlineStr">
        <is>
          <t>\\192.168.100.169\Comun\00. Proiecte 2026\2026.07.17 SRL ONG IN PARTENERIAT - P1 - 1.3.3 Platformă pilot de inovare deschisă\1.DOCUMENTE OFICIALE\Anexa 10 - Nota privind fundamentarea costurilor.docx</t>
        </is>
      </c>
      <c r="C320" s="2" t="inlineStr">
        <is>
          <t>Anexa 10 - Nota privind fundamentarea costurilor.docx</t>
        </is>
      </c>
      <c r="D320" s="2" t="inlineStr">
        <is>
          <t>.docx</t>
        </is>
      </c>
      <c r="E320" s="2" t="n">
        <v>900405</v>
      </c>
      <c r="F320" s="2" t="inlineStr">
        <is>
          <t>2026-07-13T13:41:39</t>
        </is>
      </c>
      <c r="G320" s="2" t="inlineStr">
        <is>
          <t>text Word integral</t>
        </is>
      </c>
      <c r="H320" s="2" t="inlineStr"/>
    </row>
    <row r="321">
      <c r="A321" s="2" t="inlineStr">
        <is>
          <t>\\192.168.100.169\Comun\00. Proiecte 2026</t>
        </is>
      </c>
      <c r="B321" s="2" t="inlineStr">
        <is>
          <t>\\192.168.100.169\Comun\00. Proiecte 2026\2026.07.17 SRL ONG IN PARTENERIAT - P1 - 1.3.3 Platformă pilot de inovare deschisă\1.DOCUMENTE OFICIALE\Anexa 11 - Lista de echipamente servicii.docx</t>
        </is>
      </c>
      <c r="C321" s="2" t="inlineStr">
        <is>
          <t>Anexa 11 - Lista de echipamente servicii.docx</t>
        </is>
      </c>
      <c r="D321" s="2" t="inlineStr">
        <is>
          <t>.docx</t>
        </is>
      </c>
      <c r="E321" s="2" t="n">
        <v>902767</v>
      </c>
      <c r="F321" s="2" t="inlineStr">
        <is>
          <t>2026-07-13T13:41:40</t>
        </is>
      </c>
      <c r="G321" s="2" t="inlineStr">
        <is>
          <t>text Word integral</t>
        </is>
      </c>
      <c r="H321" s="2" t="inlineStr"/>
    </row>
    <row r="322">
      <c r="A322" s="2" t="inlineStr">
        <is>
          <t>\\192.168.100.169\Comun\00. Proiecte 2026</t>
        </is>
      </c>
      <c r="B322" s="2" t="inlineStr">
        <is>
          <t>\\192.168.100.169\Comun\00. Proiecte 2026\2026.07.17 SRL ONG IN PARTENERIAT - P1 - 1.3.3 Platformă pilot de inovare deschisă\1.DOCUMENTE OFICIALE\Anexa 12 - Acord parteneriat (model orientativ).docx</t>
        </is>
      </c>
      <c r="C322" s="2" t="inlineStr">
        <is>
          <t>Anexa 12 - Acord parteneriat (model orientativ).docx</t>
        </is>
      </c>
      <c r="D322" s="2" t="inlineStr">
        <is>
          <t>.docx</t>
        </is>
      </c>
      <c r="E322" s="2" t="n">
        <v>916709</v>
      </c>
      <c r="F322" s="2" t="inlineStr">
        <is>
          <t>2026-07-13T13:41:40</t>
        </is>
      </c>
      <c r="G322" s="2" t="inlineStr">
        <is>
          <t>text Word integral</t>
        </is>
      </c>
      <c r="H322" s="2" t="inlineStr"/>
    </row>
    <row r="323">
      <c r="A323" s="2" t="inlineStr">
        <is>
          <t>\\192.168.100.169\Comun\00. Proiecte 2026</t>
        </is>
      </c>
      <c r="B323" s="2" t="inlineStr">
        <is>
          <t>\\192.168.100.169\Comun\00. Proiecte 2026\2026.07.17 SRL ONG IN PARTENERIAT - P1 - 1.3.3 Platformă pilot de inovare deschisă\1.DOCUMENTE OFICIALE\Anexa 13 - Planul de monitorizare.docx</t>
        </is>
      </c>
      <c r="C323" s="2" t="inlineStr">
        <is>
          <t>Anexa 13 - Planul de monitorizare.docx</t>
        </is>
      </c>
      <c r="D323" s="2" t="inlineStr">
        <is>
          <t>.docx</t>
        </is>
      </c>
      <c r="E323" s="2" t="n">
        <v>842320</v>
      </c>
      <c r="F323" s="2" t="inlineStr">
        <is>
          <t>2026-07-13T13:41:40</t>
        </is>
      </c>
      <c r="G323" s="2" t="inlineStr">
        <is>
          <t>text Word integral</t>
        </is>
      </c>
      <c r="H323" s="2" t="inlineStr"/>
    </row>
    <row r="324">
      <c r="A324" s="2" t="inlineStr">
        <is>
          <t>\\192.168.100.169\Comun\00. Proiecte 2026</t>
        </is>
      </c>
      <c r="B324" s="2" t="inlineStr">
        <is>
          <t>\\192.168.100.169\Comun\00. Proiecte 2026\2026.07.17 SRL ONG IN PARTENERIAT - P1 - 1.3.3 Platformă pilot de inovare deschisă\1.DOCUMENTE OFICIALE\Anexa 14 - Contract de finantare_conditii generale si specifice.docx</t>
        </is>
      </c>
      <c r="C324" s="2" t="inlineStr">
        <is>
          <t>Anexa 14 - Contract de finantare_conditii generale si specifice.docx</t>
        </is>
      </c>
      <c r="D324" s="2" t="inlineStr">
        <is>
          <t>.docx</t>
        </is>
      </c>
      <c r="E324" s="2" t="n">
        <v>1003796</v>
      </c>
      <c r="F324" s="2" t="inlineStr">
        <is>
          <t>2026-07-13T13:41:41</t>
        </is>
      </c>
      <c r="G324" s="2" t="inlineStr">
        <is>
          <t>text Word integral</t>
        </is>
      </c>
      <c r="H324" s="2" t="inlineStr"/>
    </row>
    <row r="325">
      <c r="A325" s="2" t="inlineStr">
        <is>
          <t>\\192.168.100.169\Comun\00. Proiecte 2026</t>
        </is>
      </c>
      <c r="B325" s="2" t="inlineStr">
        <is>
          <t>\\192.168.100.169\Comun\00. Proiecte 2026\2026.07.17 SRL ONG IN PARTENERIAT - P1 - 1.3.3 Platformă pilot de inovare deschisă\1.DOCUMENTE OFICIALE\Anexa 15 - Declaratie ajutoare de stat si minimis.docx</t>
        </is>
      </c>
      <c r="C325" s="2" t="inlineStr">
        <is>
          <t>Anexa 15 - Declaratie ajutoare de stat si minimis.docx</t>
        </is>
      </c>
      <c r="D325" s="2" t="inlineStr">
        <is>
          <t>.docx</t>
        </is>
      </c>
      <c r="E325" s="2" t="n">
        <v>915956</v>
      </c>
      <c r="F325" s="2" t="inlineStr">
        <is>
          <t>2026-07-13T13:41:41</t>
        </is>
      </c>
      <c r="G325" s="2" t="inlineStr">
        <is>
          <t>text Word integral</t>
        </is>
      </c>
      <c r="H325" s="2" t="inlineStr"/>
    </row>
    <row r="326">
      <c r="A326" s="2" t="inlineStr">
        <is>
          <t>\\192.168.100.169\Comun\00. Proiecte 2026</t>
        </is>
      </c>
      <c r="B326" s="2" t="inlineStr">
        <is>
          <t>\\192.168.100.169\Comun\00. Proiecte 2026\2026.07.17 SRL ONG IN PARTENERIAT - P1 - 1.3.3 Platformă pilot de inovare deschisă\1.DOCUMENTE OFICIALE\Anexa 2 - Declaratie Unica.docx</t>
        </is>
      </c>
      <c r="C326" s="2" t="inlineStr">
        <is>
          <t>Anexa 2 - Declaratie Unica.docx</t>
        </is>
      </c>
      <c r="D326" s="2" t="inlineStr">
        <is>
          <t>.docx</t>
        </is>
      </c>
      <c r="E326" s="2" t="n">
        <v>919402</v>
      </c>
      <c r="F326" s="2" t="inlineStr">
        <is>
          <t>2026-07-13T13:41:35</t>
        </is>
      </c>
      <c r="G326" s="2" t="inlineStr">
        <is>
          <t>text Word integral</t>
        </is>
      </c>
      <c r="H326" s="2" t="inlineStr"/>
    </row>
    <row r="327">
      <c r="A327" s="2" t="inlineStr">
        <is>
          <t>\\192.168.100.169\Comun\00. Proiecte 2026</t>
        </is>
      </c>
      <c r="B327" s="2" t="inlineStr">
        <is>
          <t>\\192.168.100.169\Comun\00. Proiecte 2026\2026.07.17 SRL ONG IN PARTENERIAT - P1 - 1.3.3 Platformă pilot de inovare deschisă\1.DOCUMENTE OFICIALE\Anexa 3 - Grila verificare eligibilitate contractare_133_212.docx</t>
        </is>
      </c>
      <c r="C327" s="2" t="inlineStr">
        <is>
          <t>Anexa 3 - Grila verificare eligibilitate contractare_133_212.docx</t>
        </is>
      </c>
      <c r="D327" s="2" t="inlineStr">
        <is>
          <t>.docx</t>
        </is>
      </c>
      <c r="E327" s="2" t="n">
        <v>705787</v>
      </c>
      <c r="F327" s="2" t="inlineStr">
        <is>
          <t>2026-07-13T13:41:36</t>
        </is>
      </c>
      <c r="G327" s="2" t="inlineStr">
        <is>
          <t>text Word integral</t>
        </is>
      </c>
      <c r="H327" s="2" t="inlineStr"/>
    </row>
    <row r="328">
      <c r="A328" s="2" t="inlineStr">
        <is>
          <t>\\192.168.100.169\Comun\00. Proiecte 2026</t>
        </is>
      </c>
      <c r="B328" s="2" t="inlineStr">
        <is>
          <t>\\192.168.100.169\Comun\00. Proiecte 2026\2026.07.17 SRL ONG IN PARTENERIAT - P1 - 1.3.3 Platformă pilot de inovare deschisă\1.DOCUMENTE OFICIALE\Anexa 4 - Grila_ETF 1.3.3_si_2.1.2_13 mai 2026.docx</t>
        </is>
      </c>
      <c r="C328" s="2" t="inlineStr">
        <is>
          <t>Anexa 4 - Grila_ETF 1.3.3_si_2.1.2_13 mai 2026.docx</t>
        </is>
      </c>
      <c r="D328" s="2" t="inlineStr">
        <is>
          <t>.docx</t>
        </is>
      </c>
      <c r="E328" s="2" t="n">
        <v>937820</v>
      </c>
      <c r="F328" s="2" t="inlineStr">
        <is>
          <t>2026-07-13T13:41:36</t>
        </is>
      </c>
      <c r="G328" s="2" t="inlineStr">
        <is>
          <t>text Word integral</t>
        </is>
      </c>
      <c r="H328" s="2" t="inlineStr"/>
    </row>
    <row r="329">
      <c r="A329" s="2" t="inlineStr">
        <is>
          <t>\\192.168.100.169\Comun\00. Proiecte 2026</t>
        </is>
      </c>
      <c r="B329" s="2" t="inlineStr">
        <is>
          <t>\\192.168.100.169\Comun\00. Proiecte 2026\2026.07.17 SRL ONG IN PARTENERIAT - P1 - 1.3.3 Platformă pilot de inovare deschisă\1.DOCUMENTE OFICIALE\Anexa 5.1 - Planul operational al platformei de inovare deschisa Centru.docx</t>
        </is>
      </c>
      <c r="C329" s="2" t="inlineStr">
        <is>
          <t>Anexa 5.1 - Planul operational al platformei de inovare deschisa Centru.docx</t>
        </is>
      </c>
      <c r="D329" s="2" t="inlineStr">
        <is>
          <t>.docx</t>
        </is>
      </c>
      <c r="E329" s="2" t="n">
        <v>942284</v>
      </c>
      <c r="F329" s="2" t="inlineStr">
        <is>
          <t>2026-07-13T13:41:36</t>
        </is>
      </c>
      <c r="G329" s="2" t="inlineStr">
        <is>
          <t>text Word integral</t>
        </is>
      </c>
      <c r="H329" s="2" t="inlineStr"/>
    </row>
    <row r="330">
      <c r="A330" s="2" t="inlineStr">
        <is>
          <t>\\192.168.100.169\Comun\00. Proiecte 2026</t>
        </is>
      </c>
      <c r="B330" s="2" t="inlineStr">
        <is>
          <t>\\192.168.100.169\Comun\00. Proiecte 2026\2026.07.17 SRL ONG IN PARTENERIAT - P1 - 1.3.3 Platformă pilot de inovare deschisă\1.DOCUMENTE OFICIALE\Anexa 5.2 - Planul operational al platformei de inovare deschisa smart city.docx</t>
        </is>
      </c>
      <c r="C330" s="2" t="inlineStr">
        <is>
          <t>Anexa 5.2 - Planul operational al platformei de inovare deschisa smart city.docx</t>
        </is>
      </c>
      <c r="D330" s="2" t="inlineStr">
        <is>
          <t>.docx</t>
        </is>
      </c>
      <c r="E330" s="2" t="n">
        <v>941029</v>
      </c>
      <c r="F330" s="2" t="inlineStr">
        <is>
          <t>2026-07-13T13:41:37</t>
        </is>
      </c>
      <c r="G330" s="2" t="inlineStr">
        <is>
          <t>text Word integral</t>
        </is>
      </c>
      <c r="H330" s="2" t="inlineStr"/>
    </row>
    <row r="331">
      <c r="A331" s="2" t="inlineStr">
        <is>
          <t>\\192.168.100.169\Comun\00. Proiecte 2026</t>
        </is>
      </c>
      <c r="B331" s="2" t="inlineStr">
        <is>
          <t>\\192.168.100.169\Comun\00. Proiecte 2026\2026.07.17 SRL ONG IN PARTENERIAT - P1 - 1.3.3 Platformă pilot de inovare deschisă\1.DOCUMENTE OFICIALE\Anexa 6 - Model orientativ hotarare de aprobare a proiectului.docx</t>
        </is>
      </c>
      <c r="C331" s="2" t="inlineStr">
        <is>
          <t>Anexa 6 - Model orientativ hotarare de aprobare a proiectului.docx</t>
        </is>
      </c>
      <c r="D331" s="2" t="inlineStr">
        <is>
          <t>.docx</t>
        </is>
      </c>
      <c r="E331" s="2" t="n">
        <v>901315</v>
      </c>
      <c r="F331" s="2" t="inlineStr">
        <is>
          <t>2026-07-13T13:41:37</t>
        </is>
      </c>
      <c r="G331" s="2" t="inlineStr">
        <is>
          <t>text Word integral</t>
        </is>
      </c>
      <c r="H331" s="2" t="inlineStr"/>
    </row>
    <row r="332">
      <c r="A332" s="2" t="inlineStr">
        <is>
          <t>\\192.168.100.169\Comun\00. Proiecte 2026</t>
        </is>
      </c>
      <c r="B332" s="2" t="inlineStr">
        <is>
          <t>\\192.168.100.169\Comun\00. Proiecte 2026\2026.07.17 SRL ONG IN PARTENERIAT - P1 - 1.3.3 Platformă pilot de inovare deschisă\1.DOCUMENTE OFICIALE\Anexa 7 Macheta financiara platforme.xlsx</t>
        </is>
      </c>
      <c r="C332" s="2" t="inlineStr">
        <is>
          <t>Anexa 7 Macheta financiara platforme.xlsx</t>
        </is>
      </c>
      <c r="D332" s="2" t="inlineStr">
        <is>
          <t>.xlsx</t>
        </is>
      </c>
      <c r="E332" s="2" t="n">
        <v>132098</v>
      </c>
      <c r="F332" s="2" t="inlineStr">
        <is>
          <t>2026-07-13T13:41:38</t>
        </is>
      </c>
      <c r="G332" s="2" t="inlineStr">
        <is>
          <t>valori Excel; fără obiecte încorporate</t>
        </is>
      </c>
      <c r="H332" s="2" t="inlineStr"/>
    </row>
    <row r="333">
      <c r="A333" s="2" t="inlineStr">
        <is>
          <t>\\192.168.100.169\Comun\00. Proiecte 2026</t>
        </is>
      </c>
      <c r="B333" s="2" t="inlineStr">
        <is>
          <t>\\192.168.100.169\Comun\00. Proiecte 2026\2026.07.17 SRL ONG IN PARTENERIAT - P1 - 1.3.3 Platformă pilot de inovare deschisă\1.DOCUMENTE OFICIALE\Anexa 7.1 - Checklist verificare a analizei financiare.docx</t>
        </is>
      </c>
      <c r="C333" s="2" t="inlineStr">
        <is>
          <t>Anexa 7.1 - Checklist verificare a analizei financiare.docx</t>
        </is>
      </c>
      <c r="D333" s="2" t="inlineStr">
        <is>
          <t>.docx</t>
        </is>
      </c>
      <c r="E333" s="2" t="n">
        <v>53740</v>
      </c>
      <c r="F333" s="2" t="inlineStr">
        <is>
          <t>2026-07-13T13:41:38</t>
        </is>
      </c>
      <c r="G333" s="2" t="inlineStr">
        <is>
          <t>text Word integral</t>
        </is>
      </c>
      <c r="H333" s="2" t="inlineStr"/>
    </row>
    <row r="334">
      <c r="A334" s="2" t="inlineStr">
        <is>
          <t>\\192.168.100.169\Comun\00. Proiecte 2026</t>
        </is>
      </c>
      <c r="B334" s="2" t="inlineStr">
        <is>
          <t>\\192.168.100.169\Comun\00. Proiecte 2026\2026.07.17 SRL ONG IN PARTENERIAT - P1 - 1.3.3 Platformă pilot de inovare deschisă\1.DOCUMENTE OFICIALE\Anexa 8 - Declaratie privind eligibilitatea TVA.docx</t>
        </is>
      </c>
      <c r="C334" s="2" t="inlineStr">
        <is>
          <t>Anexa 8 - Declaratie privind eligibilitatea TVA.docx</t>
        </is>
      </c>
      <c r="D334" s="2" t="inlineStr">
        <is>
          <t>.docx</t>
        </is>
      </c>
      <c r="E334" s="2" t="n">
        <v>908151</v>
      </c>
      <c r="F334" s="2" t="inlineStr">
        <is>
          <t>2026-07-13T13:41:38</t>
        </is>
      </c>
      <c r="G334" s="2" t="inlineStr">
        <is>
          <t>text Word integral</t>
        </is>
      </c>
      <c r="H334" s="2" t="inlineStr"/>
    </row>
    <row r="335">
      <c r="A335" s="2" t="inlineStr">
        <is>
          <t>\\192.168.100.169\Comun\00. Proiecte 2026</t>
        </is>
      </c>
      <c r="B335" s="2" t="inlineStr">
        <is>
          <t>\\192.168.100.169\Comun\00. Proiecte 2026\2026.07.17 SRL ONG IN PARTENERIAT - P1 - 1.3.3 Platformă pilot de inovare deschisă\1.DOCUMENTE OFICIALE\Anexa 9 - Declaratie conformitate documentelor din MySMIS.docx</t>
        </is>
      </c>
      <c r="C335" s="2" t="inlineStr">
        <is>
          <t>Anexa 9 - Declaratie conformitate documentelor din MySMIS.docx</t>
        </is>
      </c>
      <c r="D335" s="2" t="inlineStr">
        <is>
          <t>.docx</t>
        </is>
      </c>
      <c r="E335" s="2" t="n">
        <v>900826</v>
      </c>
      <c r="F335" s="2" t="inlineStr">
        <is>
          <t>2026-07-13T13:41:39</t>
        </is>
      </c>
      <c r="G335" s="2" t="inlineStr">
        <is>
          <t>text Word integral</t>
        </is>
      </c>
      <c r="H335" s="2" t="inlineStr"/>
    </row>
    <row r="336">
      <c r="A336" s="2" t="inlineStr">
        <is>
          <t>\\192.168.100.169\Comun\00. Proiecte 2026</t>
        </is>
      </c>
      <c r="B336" s="2" t="inlineStr">
        <is>
          <t>\\192.168.100.169\Comun\00. Proiecte 2026\2026.07.17 SRL ONG IN PARTENERIAT - P1 - 1.3.3 Platformă pilot de inovare deschisă\1.DOCUMENTE OFICIALE\Corrigendum-2-–-Interventia-1.3.3_2.1.2.pdf</t>
        </is>
      </c>
      <c r="C336" s="2" t="inlineStr">
        <is>
          <t>Corrigendum-2-–-Interventia-1.3.3_2.1.2.pdf</t>
        </is>
      </c>
      <c r="D336" s="2" t="inlineStr">
        <is>
          <t>.pdf</t>
        </is>
      </c>
      <c r="E336" s="2" t="n">
        <v>541314</v>
      </c>
      <c r="F336" s="2" t="inlineStr">
        <is>
          <t>2026-07-13T13:39:38</t>
        </is>
      </c>
      <c r="G336" s="2" t="inlineStr">
        <is>
          <t>text PDF integral</t>
        </is>
      </c>
      <c r="H336" s="2" t="inlineStr"/>
    </row>
    <row r="337">
      <c r="A337" s="2" t="inlineStr">
        <is>
          <t>\\192.168.100.169\Comun\00. Proiecte 2026</t>
        </is>
      </c>
      <c r="B337" s="2" t="inlineStr">
        <is>
          <t>\\192.168.100.169\Comun\00. Proiecte 2026\2026.07.17 SRL ONG IN PARTENERIAT - P1 - 1.3.3 Platformă pilot de inovare deschisă\1.DOCUMENTE OFICIALE\Decizia-de-aprobare-a-Corrigendum-ului-2-–-Interventia-1.3.3_2.1.2.pdf</t>
        </is>
      </c>
      <c r="C337" s="2" t="inlineStr">
        <is>
          <t>Decizia-de-aprobare-a-Corrigendum-ului-2-–-Interventia-1.3.3_2.1.2.pdf</t>
        </is>
      </c>
      <c r="D337" s="2" t="inlineStr">
        <is>
          <t>.pdf</t>
        </is>
      </c>
      <c r="E337" s="2" t="n">
        <v>1031728</v>
      </c>
      <c r="F337" s="2" t="inlineStr">
        <is>
          <t>2026-07-13T13:39:45</t>
        </is>
      </c>
      <c r="G337" s="2" t="inlineStr">
        <is>
          <t>PDF fără text extractibil; OCR necesar</t>
        </is>
      </c>
      <c r="H337" s="2" t="inlineStr"/>
    </row>
    <row r="338">
      <c r="A338" s="2" t="inlineStr">
        <is>
          <t>\\192.168.100.169\Comun\00. Proiecte 2026</t>
        </is>
      </c>
      <c r="B338" s="2" t="inlineStr">
        <is>
          <t>\\192.168.100.169\Comun\00. Proiecte 2026\2026.07.17 SRL ONG IN PARTENERIAT - P1 - 1.3.3 Platformă pilot de inovare deschisă\1.DOCUMENTE OFICIALE\Ghidul-solicitantului-Corrigendum-2-–-Interventia-1.3.3_2.1.2.pdf</t>
        </is>
      </c>
      <c r="C338" s="2" t="inlineStr">
        <is>
          <t>Ghidul-solicitantului-Corrigendum-2-–-Interventia-1.3.3_2.1.2.pdf</t>
        </is>
      </c>
      <c r="D338" s="2" t="inlineStr">
        <is>
          <t>.pdf</t>
        </is>
      </c>
      <c r="E338" s="2" t="n">
        <v>1589013</v>
      </c>
      <c r="F338" s="2" t="inlineStr">
        <is>
          <t>2026-07-13T13:39:26</t>
        </is>
      </c>
      <c r="G338" s="2" t="inlineStr">
        <is>
          <t>text PDF integral</t>
        </is>
      </c>
      <c r="H338" s="2" t="inlineStr"/>
    </row>
    <row r="339">
      <c r="A339" s="2" t="inlineStr">
        <is>
          <t>\\192.168.100.169\Comun\00. Proiecte 2026</t>
        </is>
      </c>
      <c r="B339" s="2" t="inlineStr">
        <is>
          <t>\\192.168.100.169\Comun\00. Proiecte 2026\2026.07.17 SRL ONG IN PARTENERIAT - P1 - 1.3.3 Platformă pilot de inovare deschisă\1.DOCUMENTE OFICIALE\Sinteza-modificarilor-Corrigendum-2-–-Interventia-1.3.3_2.1.2.pdf</t>
        </is>
      </c>
      <c r="C339" s="2" t="inlineStr">
        <is>
          <t>Sinteza-modificarilor-Corrigendum-2-–-Interventia-1.3.3_2.1.2.pdf</t>
        </is>
      </c>
      <c r="D339" s="2" t="inlineStr">
        <is>
          <t>.pdf</t>
        </is>
      </c>
      <c r="E339" s="2" t="n">
        <v>452862</v>
      </c>
      <c r="F339" s="2" t="inlineStr">
        <is>
          <t>2026-07-13T13:39:55</t>
        </is>
      </c>
      <c r="G339" s="2" t="inlineStr">
        <is>
          <t>text PDF integral</t>
        </is>
      </c>
      <c r="H339" s="2" t="inlineStr"/>
    </row>
    <row r="340">
      <c r="A340" s="2" t="inlineStr">
        <is>
          <t>\\192.168.100.169\Comun\00. Proiecte 2026</t>
        </is>
      </c>
      <c r="B340" s="2" t="inlineStr">
        <is>
          <t>\\192.168.100.169\Comun\00. Proiecte 2026\2026.07.17 SRL ONG IN PARTENERIAT - P1 - 1.3.3 Platformă pilot de inovare deschisă\1.DOCUMENTE OFICIALE\~$exa 4 - Grila_ETF 1.3.3_si_2.1.2.docx</t>
        </is>
      </c>
      <c r="C340" s="2" t="inlineStr">
        <is>
          <t>~$exa 4 - Grila_ETF 1.3.3_si_2.1.2.docx</t>
        </is>
      </c>
      <c r="D340" s="2" t="inlineStr">
        <is>
          <t>.docx</t>
        </is>
      </c>
      <c r="E340" s="2" t="n">
        <v>162</v>
      </c>
      <c r="F340" s="2" t="inlineStr">
        <is>
          <t>2026-07-13T13:41:42</t>
        </is>
      </c>
      <c r="G340" s="2" t="inlineStr">
        <is>
          <t>eroare: File is not a zip file</t>
        </is>
      </c>
      <c r="H340" s="2" t="inlineStr"/>
    </row>
    <row r="341">
      <c r="A341" s="2" t="inlineStr">
        <is>
          <t>\\192.168.100.169\Comun\00. Proiecte 2026</t>
        </is>
      </c>
      <c r="B341" s="2" t="inlineStr">
        <is>
          <t>\\192.168.100.169\Comun\00. Proiecte 2026\2026.07.17 SRL ONG IN PARTENERIAT - P1 - 1.3.3 Platformă pilot de inovare deschisă\1.DOCUMENTE OFICIALE\~$exa 6 - Planul operational al platformei de inovare deschisa Centru.docx</t>
        </is>
      </c>
      <c r="C341" s="2" t="inlineStr">
        <is>
          <t>~$exa 6 - Planul operational al platformei de inovare deschisa Centru.docx</t>
        </is>
      </c>
      <c r="D341" s="2" t="inlineStr">
        <is>
          <t>.docx</t>
        </is>
      </c>
      <c r="E341" s="2" t="n">
        <v>162</v>
      </c>
      <c r="F341" s="2" t="inlineStr">
        <is>
          <t>2026-07-13T13:41:42</t>
        </is>
      </c>
      <c r="G341" s="2" t="inlineStr">
        <is>
          <t>eroare: File is not a zip file</t>
        </is>
      </c>
      <c r="H341" s="2" t="inlineStr"/>
    </row>
    <row r="342">
      <c r="A342" s="2" t="inlineStr">
        <is>
          <t>\\192.168.100.169\Comun\00. Proiecte 2026</t>
        </is>
      </c>
      <c r="B342" s="2" t="inlineStr">
        <is>
          <t>\\192.168.100.169\Comun\00. Proiecte 2026\2026.07.17 SRL ONG IN PARTENERIAT - P1 - 1.3.3 Platformă pilot de inovare deschisă\1.DOCUMENTE OFICIALE\~$exa 6.1 - Planul operational al platformei de inovare deschisa smart city.docx</t>
        </is>
      </c>
      <c r="C342" s="2" t="inlineStr">
        <is>
          <t>~$exa 6.1 - Planul operational al platformei de inovare deschisa smart city.docx</t>
        </is>
      </c>
      <c r="D342" s="2" t="inlineStr">
        <is>
          <t>.docx</t>
        </is>
      </c>
      <c r="E342" s="2" t="n">
        <v>162</v>
      </c>
      <c r="F342" s="2" t="inlineStr">
        <is>
          <t>2026-07-13T13:41:33</t>
        </is>
      </c>
      <c r="G342" s="2" t="inlineStr">
        <is>
          <t>eroare: File is not a zip file</t>
        </is>
      </c>
      <c r="H342" s="2" t="inlineStr"/>
    </row>
    <row r="343">
      <c r="A343" s="2" t="inlineStr">
        <is>
          <t>\\192.168.100.169\Comun\00. Proiecte 2026</t>
        </is>
      </c>
      <c r="B343" s="2" t="inlineStr">
        <is>
          <t>\\192.168.100.169\Comun\00. Proiecte 2026\2026.08.07 - P6 Sprijin pentru creșterea durabilă a întreprinderilor sociale și crearea de locuri de muncă\CONDIȚII DE ELIGIBILITATE.docx</t>
        </is>
      </c>
      <c r="C343" s="2" t="inlineStr">
        <is>
          <t>CONDIȚII DE ELIGIBILITATE.docx</t>
        </is>
      </c>
      <c r="D343" s="2" t="inlineStr">
        <is>
          <t>.docx</t>
        </is>
      </c>
      <c r="E343" s="2" t="n">
        <v>24455</v>
      </c>
      <c r="F343" s="2" t="inlineStr">
        <is>
          <t>2026-06-26T13:25:54</t>
        </is>
      </c>
      <c r="G343" s="2" t="inlineStr">
        <is>
          <t>text Word integral</t>
        </is>
      </c>
      <c r="H343" s="2" t="inlineStr"/>
    </row>
    <row r="344">
      <c r="A344" s="2" t="inlineStr">
        <is>
          <t>\\192.168.100.169\Comun\00. Proiecte 2026</t>
        </is>
      </c>
      <c r="B344" s="2" t="inlineStr">
        <is>
          <t>\\192.168.100.169\Comun\00. Proiecte 2026\2026.08.07 - P6 Sprijin pentru creșterea durabilă a întreprinderilor sociale și crearea de locuri de muncă\1. DOCUMENTE OFICIALE\00_ GS_întreprinderi sociale_SprijDir.pdf</t>
        </is>
      </c>
      <c r="C344" s="2" t="inlineStr">
        <is>
          <t>00_ GS_întreprinderi sociale_SprijDir.pdf</t>
        </is>
      </c>
      <c r="D344" s="2" t="inlineStr">
        <is>
          <t>.pdf</t>
        </is>
      </c>
      <c r="E344" s="2" t="n">
        <v>1227607</v>
      </c>
      <c r="F344" s="2" t="inlineStr">
        <is>
          <t>2026-06-25T14:41:31</t>
        </is>
      </c>
      <c r="G344" s="2" t="inlineStr">
        <is>
          <t>text PDF integral</t>
        </is>
      </c>
      <c r="H344" s="2" t="inlineStr"/>
    </row>
    <row r="345">
      <c r="A345" s="2" t="inlineStr">
        <is>
          <t>\\192.168.100.169\Comun\00. Proiecte 2026</t>
        </is>
      </c>
      <c r="B345" s="2" t="inlineStr">
        <is>
          <t>\\192.168.100.169\Comun\00. Proiecte 2026\2026.08.07 - P6 Sprijin pentru creșterea durabilă a întreprinderilor sociale și crearea de locuri de muncă\1. DOCUMENTE OFICIALE\0Anexa 1 Bugetul  proiectului_întreprinderi sociale_sd.pdf</t>
        </is>
      </c>
      <c r="C345" s="2" t="inlineStr">
        <is>
          <t>0Anexa 1 Bugetul  proiectului_întreprinderi sociale_sd.pdf</t>
        </is>
      </c>
      <c r="D345" s="2" t="inlineStr">
        <is>
          <t>.pdf</t>
        </is>
      </c>
      <c r="E345" s="2" t="n">
        <v>166473</v>
      </c>
      <c r="F345" s="2" t="inlineStr">
        <is>
          <t>2026-06-25T14:41:31</t>
        </is>
      </c>
      <c r="G345" s="2" t="inlineStr">
        <is>
          <t>text PDF integral</t>
        </is>
      </c>
      <c r="H345" s="2" t="inlineStr"/>
    </row>
    <row r="346">
      <c r="A346" s="2" t="inlineStr">
        <is>
          <t>\\192.168.100.169\Comun\00. Proiecte 2026</t>
        </is>
      </c>
      <c r="B346" s="2" t="inlineStr">
        <is>
          <t>\\192.168.100.169\Comun\00. Proiecte 2026\2026.08.07 - P6 Sprijin pentru creșterea durabilă a întreprinderilor sociale și crearea de locuri de muncă\1. DOCUMENTE OFICIALE\0Anexa 10  Grila_verificare_contractare_întreprinderi sociale.pdf</t>
        </is>
      </c>
      <c r="C346" s="2" t="inlineStr">
        <is>
          <t>0Anexa 10  Grila_verificare_contractare_întreprinderi sociale.pdf</t>
        </is>
      </c>
      <c r="D346" s="2" t="inlineStr">
        <is>
          <t>.pdf</t>
        </is>
      </c>
      <c r="E346" s="2" t="n">
        <v>254337</v>
      </c>
      <c r="F346" s="2" t="inlineStr">
        <is>
          <t>2026-06-25T14:41:31</t>
        </is>
      </c>
      <c r="G346" s="2" t="inlineStr">
        <is>
          <t>text PDF integral</t>
        </is>
      </c>
      <c r="H346" s="2" t="inlineStr"/>
    </row>
    <row r="347">
      <c r="A347" s="2" t="inlineStr">
        <is>
          <t>\\192.168.100.169\Comun\00. Proiecte 2026</t>
        </is>
      </c>
      <c r="B347" s="2" t="inlineStr">
        <is>
          <t>\\192.168.100.169\Comun\00. Proiecte 2026\2026.08.07 - P6 Sprijin pentru creșterea durabilă a întreprinderilor sociale și crearea de locuri de muncă\1. DOCUMENTE OFICIALE\0Anexa 11 - Model Contract finantare_întreprinderi sociale.pdf</t>
        </is>
      </c>
      <c r="C347" s="2" t="inlineStr">
        <is>
          <t>0Anexa 11 - Model Contract finantare_întreprinderi sociale.pdf</t>
        </is>
      </c>
      <c r="D347" s="2" t="inlineStr">
        <is>
          <t>.pdf</t>
        </is>
      </c>
      <c r="E347" s="2" t="n">
        <v>338451</v>
      </c>
      <c r="F347" s="2" t="inlineStr">
        <is>
          <t>2026-06-25T14:41:31</t>
        </is>
      </c>
      <c r="G347" s="2" t="inlineStr">
        <is>
          <t>text PDF integral</t>
        </is>
      </c>
      <c r="H347" s="2" t="inlineStr"/>
    </row>
    <row r="348">
      <c r="A348" s="2" t="inlineStr">
        <is>
          <t>\\192.168.100.169\Comun\00. Proiecte 2026</t>
        </is>
      </c>
      <c r="B348" s="2" t="inlineStr">
        <is>
          <t>\\192.168.100.169\Comun\00. Proiecte 2026\2026.08.07 - P6 Sprijin pentru creșterea durabilă a întreprinderilor sociale și crearea de locuri de muncă\1. DOCUMENTE OFICIALE\0Anexa 2 Model Cererea de  Finantare_întreprinderi sociale.pdf</t>
        </is>
      </c>
      <c r="C348" s="2" t="inlineStr">
        <is>
          <t>0Anexa 2 Model Cererea de  Finantare_întreprinderi sociale.pdf</t>
        </is>
      </c>
      <c r="D348" s="2" t="inlineStr">
        <is>
          <t>.pdf</t>
        </is>
      </c>
      <c r="E348" s="2" t="n">
        <v>268923</v>
      </c>
      <c r="F348" s="2" t="inlineStr">
        <is>
          <t>2026-06-25T14:41:32</t>
        </is>
      </c>
      <c r="G348" s="2" t="inlineStr">
        <is>
          <t>text PDF integral</t>
        </is>
      </c>
      <c r="H348" s="2" t="inlineStr"/>
    </row>
    <row r="349">
      <c r="A349" s="2" t="inlineStr">
        <is>
          <t>\\192.168.100.169\Comun\00. Proiecte 2026</t>
        </is>
      </c>
      <c r="B349" s="2" t="inlineStr">
        <is>
          <t>\\192.168.100.169\Comun\00. Proiecte 2026\2026.08.07 - P6 Sprijin pentru creșterea durabilă a întreprinderilor sociale și crearea de locuri de muncă\1. DOCUMENTE OFICIALE\0Anexa 3 Declaratia unica_Intreprinderi sociale_sd.pdf</t>
        </is>
      </c>
      <c r="C349" s="2" t="inlineStr">
        <is>
          <t>0Anexa 3 Declaratia unica_Intreprinderi sociale_sd.pdf</t>
        </is>
      </c>
      <c r="D349" s="2" t="inlineStr">
        <is>
          <t>.pdf</t>
        </is>
      </c>
      <c r="E349" s="2" t="n">
        <v>398224</v>
      </c>
      <c r="F349" s="2" t="inlineStr">
        <is>
          <t>2026-06-25T14:41:32</t>
        </is>
      </c>
      <c r="G349" s="2" t="inlineStr">
        <is>
          <t>text PDF integral</t>
        </is>
      </c>
      <c r="H349" s="2" t="inlineStr"/>
    </row>
    <row r="350">
      <c r="A350" s="2" t="inlineStr">
        <is>
          <t>\\192.168.100.169\Comun\00. Proiecte 2026</t>
        </is>
      </c>
      <c r="B350" s="2" t="inlineStr">
        <is>
          <t>\\192.168.100.169\Comun\00. Proiecte 2026\2026.08.07 - P6 Sprijin pentru creșterea durabilă a întreprinderilor sociale și crearea de locuri de muncă\1. DOCUMENTE OFICIALE\0Anexa 4a Declaratie incadrare cat. IMM_întreprinderi sociale_sd.pdf</t>
        </is>
      </c>
      <c r="C350" s="2" t="inlineStr">
        <is>
          <t>0Anexa 4a Declaratie incadrare cat. IMM_întreprinderi sociale_sd.pdf</t>
        </is>
      </c>
      <c r="D350" s="2" t="inlineStr">
        <is>
          <t>.pdf</t>
        </is>
      </c>
      <c r="E350" s="2" t="n">
        <v>282358</v>
      </c>
      <c r="F350" s="2" t="inlineStr">
        <is>
          <t>2026-06-25T14:41:32</t>
        </is>
      </c>
      <c r="G350" s="2" t="inlineStr">
        <is>
          <t>text PDF integral</t>
        </is>
      </c>
      <c r="H350" s="2" t="inlineStr"/>
    </row>
    <row r="351">
      <c r="A351" s="2" t="inlineStr">
        <is>
          <t>\\192.168.100.169\Comun\00. Proiecte 2026</t>
        </is>
      </c>
      <c r="B351" s="2" t="inlineStr">
        <is>
          <t>\\192.168.100.169\Comun\00. Proiecte 2026\2026.08.07 - P6 Sprijin pentru creșterea durabilă a întreprinderilor sociale și crearea de locuri de muncă\1. DOCUMENTE OFICIALE\0Anexa 4b Reguli_principii aplicabile privind incadrarea in cat. micro FIN_întreprinderi sociale.docx.pdf</t>
        </is>
      </c>
      <c r="C351" s="2" t="inlineStr">
        <is>
          <t>0Anexa 4b Reguli_principii aplicabile privind incadrarea in cat. micro FIN_întreprinderi sociale.docx.pdf</t>
        </is>
      </c>
      <c r="D351" s="2" t="inlineStr">
        <is>
          <t>.pdf</t>
        </is>
      </c>
      <c r="E351" s="2" t="n">
        <v>556803</v>
      </c>
      <c r="F351" s="2" t="inlineStr">
        <is>
          <t>2026-06-25T14:41:31</t>
        </is>
      </c>
      <c r="G351" s="2" t="inlineStr">
        <is>
          <t>text PDF integral</t>
        </is>
      </c>
      <c r="H351" s="2" t="inlineStr"/>
    </row>
    <row r="352">
      <c r="A352" s="2" t="inlineStr">
        <is>
          <t>\\192.168.100.169\Comun\00. Proiecte 2026</t>
        </is>
      </c>
      <c r="B352" s="2" t="inlineStr">
        <is>
          <t>\\192.168.100.169\Comun\00. Proiecte 2026\2026.08.07 - P6 Sprijin pentru creșterea durabilă a întreprinderilor sociale și crearea de locuri de muncă\1. DOCUMENTE OFICIALE\0Anexa 5aPlan de  afaceri_întreprinderi sociale_sd .pdf</t>
        </is>
      </c>
      <c r="C352" s="2" t="inlineStr">
        <is>
          <t>0Anexa 5aPlan de  afaceri_întreprinderi sociale_sd .pdf</t>
        </is>
      </c>
      <c r="D352" s="2" t="inlineStr">
        <is>
          <t>.pdf</t>
        </is>
      </c>
      <c r="E352" s="2" t="n">
        <v>418898</v>
      </c>
      <c r="F352" s="2" t="inlineStr">
        <is>
          <t>2026-06-25T14:41:31</t>
        </is>
      </c>
      <c r="G352" s="2" t="inlineStr">
        <is>
          <t>text PDF integral</t>
        </is>
      </c>
      <c r="H352" s="2" t="inlineStr"/>
    </row>
    <row r="353">
      <c r="A353" s="2" t="inlineStr">
        <is>
          <t>\\192.168.100.169\Comun\00. Proiecte 2026</t>
        </is>
      </c>
      <c r="B353" s="2" t="inlineStr">
        <is>
          <t>\\192.168.100.169\Comun\00. Proiecte 2026\2026.08.07 - P6 Sprijin pentru creșterea durabilă a întreprinderilor sociale și crearea de locuri de muncă\1. DOCUMENTE OFICIALE\0Anexa 5b Macheta financiara_întreprinderi sociale_sd.xlsx</t>
        </is>
      </c>
      <c r="C353" s="2" t="inlineStr">
        <is>
          <t>0Anexa 5b Macheta financiara_întreprinderi sociale_sd.xlsx</t>
        </is>
      </c>
      <c r="D353" s="2" t="inlineStr">
        <is>
          <t>.xlsx</t>
        </is>
      </c>
      <c r="E353" s="2" t="n">
        <v>90921</v>
      </c>
      <c r="F353" s="2" t="inlineStr">
        <is>
          <t>2026-06-25T14:41:31</t>
        </is>
      </c>
      <c r="G353" s="2" t="inlineStr">
        <is>
          <t>valori Excel; fără obiecte încorporate</t>
        </is>
      </c>
      <c r="H353" s="2" t="inlineStr"/>
    </row>
    <row r="354">
      <c r="A354" s="2" t="inlineStr">
        <is>
          <t>\\192.168.100.169\Comun\00. Proiecte 2026</t>
        </is>
      </c>
      <c r="B354" s="2" t="inlineStr">
        <is>
          <t>\\192.168.100.169\Comun\00. Proiecte 2026\2026.08.07 - P6 Sprijin pentru creșterea durabilă a întreprinderilor sociale și crearea de locuri de muncă\1. DOCUMENTE OFICIALE\0Anexa 6a Lista autoevaluare DNSH__întreprinderi sociale_sd.pdf</t>
        </is>
      </c>
      <c r="C354" s="2" t="inlineStr">
        <is>
          <t>0Anexa 6a Lista autoevaluare DNSH__întreprinderi sociale_sd.pdf</t>
        </is>
      </c>
      <c r="D354" s="2" t="inlineStr">
        <is>
          <t>.pdf</t>
        </is>
      </c>
      <c r="E354" s="2" t="n">
        <v>120848</v>
      </c>
      <c r="F354" s="2" t="inlineStr">
        <is>
          <t>2026-06-25T14:41:31</t>
        </is>
      </c>
      <c r="G354" s="2" t="inlineStr">
        <is>
          <t>text PDF integral</t>
        </is>
      </c>
      <c r="H354" s="2" t="inlineStr"/>
    </row>
    <row r="355">
      <c r="A355" s="2" t="inlineStr">
        <is>
          <t>\\192.168.100.169\Comun\00. Proiecte 2026</t>
        </is>
      </c>
      <c r="B355" s="2" t="inlineStr">
        <is>
          <t>\\192.168.100.169\Comun\00. Proiecte 2026\2026.08.07 - P6 Sprijin pentru creșterea durabilă a întreprinderilor sociale și crearea de locuri de muncă\1. DOCUMENTE OFICIALE\0Anexa 6b Metodologie-Lista auto-evaluare_DNSH.pdf</t>
        </is>
      </c>
      <c r="C355" s="2" t="inlineStr">
        <is>
          <t>0Anexa 6b Metodologie-Lista auto-evaluare_DNSH.pdf</t>
        </is>
      </c>
      <c r="D355" s="2" t="inlineStr">
        <is>
          <t>.pdf</t>
        </is>
      </c>
      <c r="E355" s="2" t="n">
        <v>252207</v>
      </c>
      <c r="F355" s="2" t="inlineStr">
        <is>
          <t>2026-06-25T14:41:31</t>
        </is>
      </c>
      <c r="G355" s="2" t="inlineStr">
        <is>
          <t>text PDF integral</t>
        </is>
      </c>
      <c r="H355" s="2" t="inlineStr"/>
    </row>
    <row r="356">
      <c r="A356" s="2" t="inlineStr">
        <is>
          <t>\\192.168.100.169\Comun\00. Proiecte 2026</t>
        </is>
      </c>
      <c r="B356" s="2" t="inlineStr">
        <is>
          <t>\\192.168.100.169\Comun\00. Proiecte 2026\2026.08.07 - P6 Sprijin pentru creșterea durabilă a întreprinderilor sociale și crearea de locuri de muncă\1. DOCUMENTE OFICIALE\0Anexa 7 Raport rezonabilitate costuri_întreprinderi sociale_sd.pdf</t>
        </is>
      </c>
      <c r="C356" s="2" t="inlineStr">
        <is>
          <t>0Anexa 7 Raport rezonabilitate costuri_întreprinderi sociale_sd.pdf</t>
        </is>
      </c>
      <c r="D356" s="2" t="inlineStr">
        <is>
          <t>.pdf</t>
        </is>
      </c>
      <c r="E356" s="2" t="n">
        <v>187156</v>
      </c>
      <c r="F356" s="2" t="inlineStr">
        <is>
          <t>2026-06-25T14:41:31</t>
        </is>
      </c>
      <c r="G356" s="2" t="inlineStr">
        <is>
          <t>text PDF integral</t>
        </is>
      </c>
      <c r="H356" s="2" t="inlineStr"/>
    </row>
    <row r="357">
      <c r="A357" s="2" t="inlineStr">
        <is>
          <t>\\192.168.100.169\Comun\00. Proiecte 2026</t>
        </is>
      </c>
      <c r="B357" s="2" t="inlineStr">
        <is>
          <t>\\192.168.100.169\Comun\00. Proiecte 2026\2026.08.07 - P6 Sprijin pentru creșterea durabilă a întreprinderilor sociale și crearea de locuri de muncă\1. DOCUMENTE OFICIALE\0Anexa 8 Plan monitorizare_întreprinderi sociale_sd.pdf</t>
        </is>
      </c>
      <c r="C357" s="2" t="inlineStr">
        <is>
          <t>0Anexa 8 Plan monitorizare_întreprinderi sociale_sd.pdf</t>
        </is>
      </c>
      <c r="D357" s="2" t="inlineStr">
        <is>
          <t>.pdf</t>
        </is>
      </c>
      <c r="E357" s="2" t="n">
        <v>178742</v>
      </c>
      <c r="F357" s="2" t="inlineStr">
        <is>
          <t>2026-06-25T14:41:31</t>
        </is>
      </c>
      <c r="G357" s="2" t="inlineStr">
        <is>
          <t>text PDF integral</t>
        </is>
      </c>
      <c r="H357" s="2" t="inlineStr"/>
    </row>
    <row r="358">
      <c r="A358" s="2" t="inlineStr">
        <is>
          <t>\\192.168.100.169\Comun\00. Proiecte 2026</t>
        </is>
      </c>
      <c r="B358" s="2" t="inlineStr">
        <is>
          <t>\\192.168.100.169\Comun\00. Proiecte 2026\2026.08.07 - P6 Sprijin pentru creșterea durabilă a întreprinderilor sociale și crearea de locuri de muncă\1. DOCUMENTE OFICIALE\0Anexa 9 Grila ETF_întreprinderi sociale_sd  modif.xlsx</t>
        </is>
      </c>
      <c r="C358" s="2" t="inlineStr">
        <is>
          <t>0Anexa 9 Grila ETF_întreprinderi sociale_sd  modif.xlsx</t>
        </is>
      </c>
      <c r="D358" s="2" t="inlineStr">
        <is>
          <t>.xlsx</t>
        </is>
      </c>
      <c r="E358" s="2" t="n">
        <v>29726</v>
      </c>
      <c r="F358" s="2" t="inlineStr">
        <is>
          <t>2026-06-25T14:41:31</t>
        </is>
      </c>
      <c r="G358" s="2" t="inlineStr">
        <is>
          <t>valori Excel; fără obiecte încorporate</t>
        </is>
      </c>
      <c r="H358" s="2" t="inlineStr"/>
    </row>
    <row r="359">
      <c r="A359" s="2" t="inlineStr">
        <is>
          <t>\\192.168.100.169\Comun\00. Proiecte 2026</t>
        </is>
      </c>
      <c r="B359" s="2" t="inlineStr">
        <is>
          <t>\\192.168.100.169\Comun\00. Proiecte 2026\2026.08.07 - P6 Sprijin pentru creșterea durabilă a întreprinderilor sociale și crearea de locuri de muncă\1. DOCUMENTE OFICIALE\0Anexa_12 Conformitatea cu ajutorul de stat - de minimis.pdf</t>
        </is>
      </c>
      <c r="C359" s="2" t="inlineStr">
        <is>
          <t>0Anexa_12 Conformitatea cu ajutorul de stat - de minimis.pdf</t>
        </is>
      </c>
      <c r="D359" s="2" t="inlineStr">
        <is>
          <t>.pdf</t>
        </is>
      </c>
      <c r="E359" s="2" t="n">
        <v>275144</v>
      </c>
      <c r="F359" s="2" t="inlineStr">
        <is>
          <t>2026-06-25T14:41:31</t>
        </is>
      </c>
      <c r="G359" s="2" t="inlineStr">
        <is>
          <t>text PDF integral</t>
        </is>
      </c>
      <c r="H359" s="2" t="inlineStr"/>
    </row>
    <row r="360">
      <c r="A360" s="2" t="inlineStr">
        <is>
          <t>\\192.168.100.169\Comun\00. Proiecte 2026</t>
        </is>
      </c>
      <c r="B360" s="2" t="inlineStr">
        <is>
          <t>\\192.168.100.169\Comun\00. Proiecte 2026\2026.08.07 - P6 Sprijin pentru creșterea durabilă a întreprinderilor sociale și crearea de locuri de muncă\1. DOCUMENTE OFICIALE\0Anexa_13 Graficul de prefinanțare plată rambursare a cheltuielilor.pdf</t>
        </is>
      </c>
      <c r="C360" s="2" t="inlineStr">
        <is>
          <t>0Anexa_13 Graficul de prefinanțare plată rambursare a cheltuielilor.pdf</t>
        </is>
      </c>
      <c r="D360" s="2" t="inlineStr">
        <is>
          <t>.pdf</t>
        </is>
      </c>
      <c r="E360" s="2" t="n">
        <v>150290</v>
      </c>
      <c r="F360" s="2" t="inlineStr">
        <is>
          <t>2026-06-25T14:41:31</t>
        </is>
      </c>
      <c r="G360" s="2" t="inlineStr">
        <is>
          <t>text PDF integral</t>
        </is>
      </c>
      <c r="H360" s="2" t="inlineStr"/>
    </row>
    <row r="361">
      <c r="A361" s="2" t="inlineStr">
        <is>
          <t>\\192.168.100.169\Comun\00. Proiecte 2026</t>
        </is>
      </c>
      <c r="B361" s="2" t="inlineStr">
        <is>
          <t>\\192.168.100.169\Comun\00. Proiecte 2026\2026.08.07 - P6 Sprijin pentru creșterea durabilă a întreprinderilor sociale și crearea de locuri de muncă\1. DOCUMENTE OFICIALE\0Anexa_14 - Reguli aplicabile ajutorului de minimis.pdf</t>
        </is>
      </c>
      <c r="C361" s="2" t="inlineStr">
        <is>
          <t>0Anexa_14 - Reguli aplicabile ajutorului de minimis.pdf</t>
        </is>
      </c>
      <c r="D361" s="2" t="inlineStr">
        <is>
          <t>.pdf</t>
        </is>
      </c>
      <c r="E361" s="2" t="n">
        <v>234793</v>
      </c>
      <c r="F361" s="2" t="inlineStr">
        <is>
          <t>2026-06-25T14:41:31</t>
        </is>
      </c>
      <c r="G361" s="2" t="inlineStr">
        <is>
          <t>text PDF integral</t>
        </is>
      </c>
      <c r="H361" s="2" t="inlineStr"/>
    </row>
    <row r="362">
      <c r="A362" s="2" t="inlineStr">
        <is>
          <t>\\192.168.100.169\Comun\00. Proiecte 2026</t>
        </is>
      </c>
      <c r="B362" s="2" t="inlineStr">
        <is>
          <t>\\192.168.100.169\Comun\00. Proiecte 2026\2026.08.07 - P6 Sprijin pentru creșterea durabilă a întreprinderilor sociale și crearea de locuri de muncă\1. DOCUMENTE OFICIALE\0Anexa_15 _Declarație privind eligiblitatea TVA.pdf</t>
        </is>
      </c>
      <c r="C362" s="2" t="inlineStr">
        <is>
          <t>0Anexa_15 _Declarație privind eligiblitatea TVA.pdf</t>
        </is>
      </c>
      <c r="D362" s="2" t="inlineStr">
        <is>
          <t>.pdf</t>
        </is>
      </c>
      <c r="E362" s="2" t="n">
        <v>172262</v>
      </c>
      <c r="F362" s="2" t="inlineStr">
        <is>
          <t>2026-06-25T14:41:31</t>
        </is>
      </c>
      <c r="G362" s="2" t="inlineStr">
        <is>
          <t>text PDF integral</t>
        </is>
      </c>
      <c r="H362" s="2" t="inlineStr"/>
    </row>
    <row r="363">
      <c r="A363" s="2" t="inlineStr">
        <is>
          <t>\\192.168.100.169\Comun\00. Proiecte 2026</t>
        </is>
      </c>
      <c r="B363" s="2" t="inlineStr">
        <is>
          <t>\\192.168.100.169\Comun\00. Proiecte 2026\2026.08.07 - P6 Sprijin pentru creșterea durabilă a întreprinderilor sociale și crearea de locuri de muncă\1. DOCUMENTE OFICIALE\0Anexa_16 - Model  plan de comunicare.pdf</t>
        </is>
      </c>
      <c r="C363" s="2" t="inlineStr">
        <is>
          <t>0Anexa_16 - Model  plan de comunicare.pdf</t>
        </is>
      </c>
      <c r="D363" s="2" t="inlineStr">
        <is>
          <t>.pdf</t>
        </is>
      </c>
      <c r="E363" s="2" t="n">
        <v>226859</v>
      </c>
      <c r="F363" s="2" t="inlineStr">
        <is>
          <t>2026-06-25T14:41:31</t>
        </is>
      </c>
      <c r="G363" s="2" t="inlineStr">
        <is>
          <t>text PDF integral</t>
        </is>
      </c>
      <c r="H363" s="2" t="inlineStr"/>
    </row>
    <row r="364">
      <c r="A364" s="2" t="inlineStr">
        <is>
          <t>\\192.168.100.169\Comun\00. Proiecte 2026</t>
        </is>
      </c>
      <c r="B364" s="2" t="inlineStr">
        <is>
          <t>\\192.168.100.169\Comun\00. Proiecte 2026\2026.08.28 - ONG -P9 – 9.2 Pact de integritate\CONDIȚII DE ELIGIBILITAT1.docx</t>
        </is>
      </c>
      <c r="C364" s="2" t="inlineStr">
        <is>
          <t>CONDIȚII DE ELIGIBILITAT1.docx</t>
        </is>
      </c>
      <c r="D364" s="2" t="inlineStr">
        <is>
          <t>.docx</t>
        </is>
      </c>
      <c r="E364" s="2" t="n">
        <v>22483</v>
      </c>
      <c r="F364" s="2" t="inlineStr">
        <is>
          <t>2026-06-26T13:29:13</t>
        </is>
      </c>
      <c r="G364" s="2" t="inlineStr">
        <is>
          <t>text Word integral</t>
        </is>
      </c>
      <c r="H364" s="2" t="inlineStr">
        <is>
          <t>mplementate integral înainte de depunerea cererii.   12. Valoarea proiectului și finanțarea Valoarea minimă a proiectului este de 30.000 euro. Valoarea maximă a proiectului este de 65.000 euro. Finanțarea este de 100% din valoarea cheltuielilor eligibile, din care: maximum 85% FEDR; maximum 15% buget de stat.  Alocarea totală a a</t>
        </is>
      </c>
    </row>
    <row r="365">
      <c r="A365" s="2" t="inlineStr">
        <is>
          <t>\\192.168.100.169\Comun\00. Proiecte 2026</t>
        </is>
      </c>
      <c r="B365" s="2" t="inlineStr">
        <is>
          <t>\\192.168.100.169\Comun\00. Proiecte 2026\2026.08.28 - ONG -P9 – 9.2 Pact de integritate\1.DOCUMENTE OFICIALE\Decizia-de-aprobare-a-Ghidului-solicitantului-Actiunea-9.2.pdf</t>
        </is>
      </c>
      <c r="C365" s="2" t="inlineStr">
        <is>
          <t>Decizia-de-aprobare-a-Ghidului-solicitantului-Actiunea-9.2.pdf</t>
        </is>
      </c>
      <c r="D365" s="2" t="inlineStr">
        <is>
          <t>.pdf</t>
        </is>
      </c>
      <c r="E365" s="2" t="n">
        <v>1441110</v>
      </c>
      <c r="F365" s="2" t="inlineStr">
        <is>
          <t>2026-06-25T14:30:41</t>
        </is>
      </c>
      <c r="G365" s="2" t="inlineStr">
        <is>
          <t>PDF fără text extractibil; OCR necesar</t>
        </is>
      </c>
      <c r="H365" s="2" t="inlineStr"/>
    </row>
    <row r="366">
      <c r="A366" s="2" t="inlineStr">
        <is>
          <t>\\192.168.100.169\Comun\00. Proiecte 2026</t>
        </is>
      </c>
      <c r="B366" s="2" t="inlineStr">
        <is>
          <t>\\192.168.100.169\Comun\00. Proiecte 2026\2026.08.28 - ONG -P9 – 9.2 Pact de integritate\1.DOCUMENTE OFICIALE\Ghidul-solicitantului-–-Actiunea-9.2.pdf</t>
        </is>
      </c>
      <c r="C366" s="2" t="inlineStr">
        <is>
          <t>Ghidul-solicitantului-–-Actiunea-9.2.pdf</t>
        </is>
      </c>
      <c r="D366" s="2" t="inlineStr">
        <is>
          <t>.pdf</t>
        </is>
      </c>
      <c r="E366" s="2" t="n">
        <v>1695720</v>
      </c>
      <c r="F366" s="2" t="inlineStr">
        <is>
          <t>2026-06-25T14:30:27</t>
        </is>
      </c>
      <c r="G366" s="2" t="inlineStr">
        <is>
          <t>text PDF integral</t>
        </is>
      </c>
      <c r="H366" s="2" t="inlineStr">
        <is>
          <t xml:space="preserve">centru.ro  35    5.4. Valoarea minimă și maximă eligibilă/nerambursabilă a unui proiect    Valoarea minimă a unui proiect este de 30.000 euro, iar valoarea maximă a unui proiect  este de 65.000 euro.  Cursul de schimb care va sta la baza conversiei lei/euro este cursul InforEuro valabil în luna  lansării apelului de proiecte, ce </t>
        </is>
      </c>
    </row>
    <row r="367">
      <c r="A367" s="2" t="inlineStr">
        <is>
          <t>\\192.168.100.169\Comun\00. Proiecte 2026</t>
        </is>
      </c>
      <c r="B367" s="2" t="inlineStr">
        <is>
          <t>\\192.168.100.169\Comun\00. Proiecte 2026\2026.08.28 - ONG -P9 – 9.2 Pact de integritate\1.DOCUMENTE OFICIALE\ANEXE\Anexa 1 - Instructiuni de completare a formularului cererii de finantare.docx</t>
        </is>
      </c>
      <c r="C367" s="2" t="inlineStr">
        <is>
          <t>Anexa 1 - Instructiuni de completare a formularului cererii de finantare.docx</t>
        </is>
      </c>
      <c r="D367" s="2" t="inlineStr">
        <is>
          <t>.docx</t>
        </is>
      </c>
      <c r="E367" s="2" t="n">
        <v>6359804</v>
      </c>
      <c r="F367" s="2" t="inlineStr">
        <is>
          <t>2026-06-25T14:31:26</t>
        </is>
      </c>
      <c r="G367" s="2" t="inlineStr">
        <is>
          <t>text Word integral</t>
        </is>
      </c>
      <c r="H367" s="2" t="inlineStr"/>
    </row>
    <row r="368">
      <c r="A368" s="2" t="inlineStr">
        <is>
          <t>\\192.168.100.169\Comun\00. Proiecte 2026</t>
        </is>
      </c>
      <c r="B368" s="2" t="inlineStr">
        <is>
          <t>\\192.168.100.169\Comun\00. Proiecte 2026\2026.08.28 - ONG -P9 – 9.2 Pact de integritate\1.DOCUMENTE OFICIALE\ANEXE\Anexa 10 - Fisa colectiva de prezenta.xlsx</t>
        </is>
      </c>
      <c r="C368" s="2" t="inlineStr">
        <is>
          <t>Anexa 10 - Fisa colectiva de prezenta.xlsx</t>
        </is>
      </c>
      <c r="D368" s="2" t="inlineStr">
        <is>
          <t>.xlsx</t>
        </is>
      </c>
      <c r="E368" s="2" t="n">
        <v>21133</v>
      </c>
      <c r="F368" s="2" t="inlineStr">
        <is>
          <t>2026-06-25T14:31:29</t>
        </is>
      </c>
      <c r="G368" s="2" t="inlineStr">
        <is>
          <t>valori Excel; fără obiecte încorporate</t>
        </is>
      </c>
      <c r="H368" s="2" t="inlineStr"/>
    </row>
    <row r="369">
      <c r="A369" s="2" t="inlineStr">
        <is>
          <t>\\192.168.100.169\Comun\00. Proiecte 2026</t>
        </is>
      </c>
      <c r="B369" s="2" t="inlineStr">
        <is>
          <t>\\192.168.100.169\Comun\00. Proiecte 2026\2026.08.28 - ONG -P9 – 9.2 Pact de integritate\1.DOCUMENTE OFICIALE\ANEXE\Anexa 2 - Declaratie unica.docx</t>
        </is>
      </c>
      <c r="C369" s="2" t="inlineStr">
        <is>
          <t>Anexa 2 - Declaratie unica.docx</t>
        </is>
      </c>
      <c r="D369" s="2" t="inlineStr">
        <is>
          <t>.docx</t>
        </is>
      </c>
      <c r="E369" s="2" t="n">
        <v>911062</v>
      </c>
      <c r="F369" s="2" t="inlineStr">
        <is>
          <t>2026-06-25T14:31:26</t>
        </is>
      </c>
      <c r="G369" s="2" t="inlineStr">
        <is>
          <t>text Word integral</t>
        </is>
      </c>
      <c r="H369" s="2" t="inlineStr"/>
    </row>
    <row r="370">
      <c r="A370" s="2" t="inlineStr">
        <is>
          <t>\\192.168.100.169\Comun\00. Proiecte 2026</t>
        </is>
      </c>
      <c r="B370" s="2" t="inlineStr">
        <is>
          <t>\\192.168.100.169\Comun\00. Proiecte 2026\2026.08.28 - ONG -P9 – 9.2 Pact de integritate\1.DOCUMENTE OFICIALE\ANEXE\Anexa 3 - Grila verificare eligibilitate contractare.docx</t>
        </is>
      </c>
      <c r="C370" s="2" t="inlineStr">
        <is>
          <t>Anexa 3 - Grila verificare eligibilitate contractare.docx</t>
        </is>
      </c>
      <c r="D370" s="2" t="inlineStr">
        <is>
          <t>.docx</t>
        </is>
      </c>
      <c r="E370" s="2" t="n">
        <v>692914</v>
      </c>
      <c r="F370" s="2" t="inlineStr">
        <is>
          <t>2026-06-25T14:31:26</t>
        </is>
      </c>
      <c r="G370" s="2" t="inlineStr">
        <is>
          <t>text Word integral</t>
        </is>
      </c>
      <c r="H370" s="2" t="inlineStr"/>
    </row>
    <row r="371">
      <c r="A371" s="2" t="inlineStr">
        <is>
          <t>\\192.168.100.169\Comun\00. Proiecte 2026</t>
        </is>
      </c>
      <c r="B371" s="2" t="inlineStr">
        <is>
          <t>\\192.168.100.169\Comun\00. Proiecte 2026\2026.08.28 - ONG -P9 – 9.2 Pact de integritate\1.DOCUMENTE OFICIALE\ANEXE\Anexa 4 - Grila_ETF.docx</t>
        </is>
      </c>
      <c r="C371" s="2" t="inlineStr">
        <is>
          <t>Anexa 4 - Grila_ETF.docx</t>
        </is>
      </c>
      <c r="D371" s="2" t="inlineStr">
        <is>
          <t>.docx</t>
        </is>
      </c>
      <c r="E371" s="2" t="n">
        <v>932238</v>
      </c>
      <c r="F371" s="2" t="inlineStr">
        <is>
          <t>2026-06-25T14:31:27</t>
        </is>
      </c>
      <c r="G371" s="2" t="inlineStr">
        <is>
          <t>text Word integral</t>
        </is>
      </c>
      <c r="H371" s="2" t="inlineStr"/>
    </row>
    <row r="372">
      <c r="A372" s="2" t="inlineStr">
        <is>
          <t>\\192.168.100.169\Comun\00. Proiecte 2026</t>
        </is>
      </c>
      <c r="B372" s="2" t="inlineStr">
        <is>
          <t>\\192.168.100.169\Comun\00. Proiecte 2026\2026.08.28 - ONG -P9 – 9.2 Pact de integritate\1.DOCUMENTE OFICIALE\ANEXE\Anexa 5 - Declaratie privind eligibilitatea TVA.docx</t>
        </is>
      </c>
      <c r="C372" s="2" t="inlineStr">
        <is>
          <t>Anexa 5 - Declaratie privind eligibilitatea TVA.docx</t>
        </is>
      </c>
      <c r="D372" s="2" t="inlineStr">
        <is>
          <t>.docx</t>
        </is>
      </c>
      <c r="E372" s="2" t="n">
        <v>907499</v>
      </c>
      <c r="F372" s="2" t="inlineStr">
        <is>
          <t>2026-06-25T14:31:27</t>
        </is>
      </c>
      <c r="G372" s="2" t="inlineStr">
        <is>
          <t>text Word integral</t>
        </is>
      </c>
      <c r="H372" s="2" t="inlineStr"/>
    </row>
    <row r="373">
      <c r="A373" s="2" t="inlineStr">
        <is>
          <t>\\192.168.100.169\Comun\00. Proiecte 2026</t>
        </is>
      </c>
      <c r="B373" s="2" t="inlineStr">
        <is>
          <t>\\192.168.100.169\Comun\00. Proiecte 2026\2026.08.28 - ONG -P9 – 9.2 Pact de integritate\1.DOCUMENTE OFICIALE\ANEXE\Anexa 6 - Declaratie conformitate documentelor din MySMIS.docx</t>
        </is>
      </c>
      <c r="C373" s="2" t="inlineStr">
        <is>
          <t>Anexa 6 - Declaratie conformitate documentelor din MySMIS.docx</t>
        </is>
      </c>
      <c r="D373" s="2" t="inlineStr">
        <is>
          <t>.docx</t>
        </is>
      </c>
      <c r="E373" s="2" t="n">
        <v>899427</v>
      </c>
      <c r="F373" s="2" t="inlineStr">
        <is>
          <t>2026-06-25T14:31:28</t>
        </is>
      </c>
      <c r="G373" s="2" t="inlineStr">
        <is>
          <t>text Word integral</t>
        </is>
      </c>
      <c r="H373" s="2" t="inlineStr"/>
    </row>
    <row r="374">
      <c r="A374" s="2" t="inlineStr">
        <is>
          <t>\\192.168.100.169\Comun\00. Proiecte 2026</t>
        </is>
      </c>
      <c r="B374" s="2" t="inlineStr">
        <is>
          <t>\\192.168.100.169\Comun\00. Proiecte 2026\2026.08.28 - ONG -P9 – 9.2 Pact de integritate\1.DOCUMENTE OFICIALE\ANEXE\Anexa 7 - Acord parteneriat (model orientativ).docx</t>
        </is>
      </c>
      <c r="C374" s="2" t="inlineStr">
        <is>
          <t>Anexa 7 - Acord parteneriat (model orientativ).docx</t>
        </is>
      </c>
      <c r="D374" s="2" t="inlineStr">
        <is>
          <t>.docx</t>
        </is>
      </c>
      <c r="E374" s="2" t="n">
        <v>916702</v>
      </c>
      <c r="F374" s="2" t="inlineStr">
        <is>
          <t>2026-06-25T14:31:28</t>
        </is>
      </c>
      <c r="G374" s="2" t="inlineStr">
        <is>
          <t>text Word integral</t>
        </is>
      </c>
      <c r="H374" s="2" t="inlineStr"/>
    </row>
    <row r="375">
      <c r="A375" s="2" t="inlineStr">
        <is>
          <t>\\192.168.100.169\Comun\00. Proiecte 2026</t>
        </is>
      </c>
      <c r="B375" s="2" t="inlineStr">
        <is>
          <t>\\192.168.100.169\Comun\00. Proiecte 2026\2026.08.28 - ONG -P9 – 9.2 Pact de integritate\1.DOCUMENTE OFICIALE\ANEXE\Anexa 8 - Planul de monitorizare.docx</t>
        </is>
      </c>
      <c r="C375" s="2" t="inlineStr">
        <is>
          <t>Anexa 8 - Planul de monitorizare.docx</t>
        </is>
      </c>
      <c r="D375" s="2" t="inlineStr">
        <is>
          <t>.docx</t>
        </is>
      </c>
      <c r="E375" s="2" t="n">
        <v>839845</v>
      </c>
      <c r="F375" s="2" t="inlineStr">
        <is>
          <t>2026-06-25T14:31:29</t>
        </is>
      </c>
      <c r="G375" s="2" t="inlineStr">
        <is>
          <t>text Word integral</t>
        </is>
      </c>
      <c r="H375" s="2" t="inlineStr"/>
    </row>
    <row r="376">
      <c r="A376" s="2" t="inlineStr">
        <is>
          <t>\\192.168.100.169\Comun\00. Proiecte 2026</t>
        </is>
      </c>
      <c r="B376" s="2" t="inlineStr">
        <is>
          <t>\\192.168.100.169\Comun\00. Proiecte 2026\2026.08.28 - STEP-LLL – Competențe pentru viitor formare la locul de muncă și educația\CONDIȚII DE ELIGIBILITATE.docx</t>
        </is>
      </c>
      <c r="C376" s="2" t="inlineStr">
        <is>
          <t>CONDIȚII DE ELIGIBILITATE.docx</t>
        </is>
      </c>
      <c r="D376" s="2" t="inlineStr">
        <is>
          <t>.docx</t>
        </is>
      </c>
      <c r="E376" s="2" t="n">
        <v>26628</v>
      </c>
      <c r="F376" s="2" t="inlineStr">
        <is>
          <t>2026-06-26T13:32:45</t>
        </is>
      </c>
      <c r="G376" s="2" t="inlineStr">
        <is>
          <t>text Word integral</t>
        </is>
      </c>
      <c r="H376" s="2" t="inlineStr"/>
    </row>
    <row r="377">
      <c r="A377" s="2" t="inlineStr">
        <is>
          <t>\\192.168.100.169\Comun\00. Proiecte 2026</t>
        </is>
      </c>
      <c r="B377" s="2" t="inlineStr">
        <is>
          <t>\\192.168.100.169\Comun\00. Proiecte 2026\2026.08.28 - STEP-LLL – Competențe pentru viitor formare la locul de muncă și educația\1.DOCUMENTE OFICIALE\767_27.05.2026_APROBARE GS_CONDITII SPECIFICE STEP-LLL..pdf</t>
        </is>
      </c>
      <c r="C377" s="2" t="inlineStr">
        <is>
          <t>767_27.05.2026_APROBARE GS_CONDITII SPECIFICE STEP-LLL..pdf</t>
        </is>
      </c>
      <c r="D377" s="2" t="inlineStr">
        <is>
          <t>.pdf</t>
        </is>
      </c>
      <c r="E377" s="2" t="n">
        <v>958547</v>
      </c>
      <c r="F377" s="2" t="inlineStr">
        <is>
          <t>2026-06-25T15:28:12</t>
        </is>
      </c>
      <c r="G377" s="2" t="inlineStr">
        <is>
          <t>PDF fără text extractibil; OCR necesar</t>
        </is>
      </c>
      <c r="H377" s="2" t="inlineStr"/>
    </row>
    <row r="378">
      <c r="A378" s="2" t="inlineStr">
        <is>
          <t>\\192.168.100.169\Comun\00. Proiecte 2026</t>
        </is>
      </c>
      <c r="B378" s="2" t="inlineStr">
        <is>
          <t>\\192.168.100.169\Comun\00. Proiecte 2026\2026.08.28 - STEP-LLL – Competențe pentru viitor formare la locul de muncă și educația\1.DOCUMENTE OFICIALE\Anexa 1_Declaratie_unica_STEP-LLL_P11.pdf</t>
        </is>
      </c>
      <c r="C378" s="2" t="inlineStr">
        <is>
          <t>Anexa 1_Declaratie_unica_STEP-LLL_P11.pdf</t>
        </is>
      </c>
      <c r="D378" s="2" t="inlineStr">
        <is>
          <t>.pdf</t>
        </is>
      </c>
      <c r="E378" s="2" t="n">
        <v>167827</v>
      </c>
      <c r="F378" s="2" t="inlineStr">
        <is>
          <t>2026-06-25T15:28:12</t>
        </is>
      </c>
      <c r="G378" s="2" t="inlineStr">
        <is>
          <t>text PDF integral</t>
        </is>
      </c>
      <c r="H378" s="2" t="inlineStr"/>
    </row>
    <row r="379">
      <c r="A379" s="2" t="inlineStr">
        <is>
          <t>\\192.168.100.169\Comun\00. Proiecte 2026</t>
        </is>
      </c>
      <c r="B379" s="2" t="inlineStr">
        <is>
          <t>\\192.168.100.169\Comun\00. Proiecte 2026\2026.08.28 - STEP-LLL – Competențe pentru viitor formare la locul de muncă și educația\1.DOCUMENTE OFICIALE\Anexa 2_Criterii_ETFP_STEP-LLL_P11.pdf</t>
        </is>
      </c>
      <c r="C379" s="2" t="inlineStr">
        <is>
          <t>Anexa 2_Criterii_ETFP_STEP-LLL_P11.pdf</t>
        </is>
      </c>
      <c r="D379" s="2" t="inlineStr">
        <is>
          <t>.pdf</t>
        </is>
      </c>
      <c r="E379" s="2" t="n">
        <v>97455</v>
      </c>
      <c r="F379" s="2" t="inlineStr">
        <is>
          <t>2026-06-25T15:28:13</t>
        </is>
      </c>
      <c r="G379" s="2" t="inlineStr">
        <is>
          <t>text PDF integral</t>
        </is>
      </c>
      <c r="H379" s="2" t="inlineStr"/>
    </row>
    <row r="380">
      <c r="A380" s="2" t="inlineStr">
        <is>
          <t>\\192.168.100.169\Comun\00. Proiecte 2026</t>
        </is>
      </c>
      <c r="B380" s="2" t="inlineStr">
        <is>
          <t>\\192.168.100.169\Comun\00. Proiecte 2026\2026.08.28 - STEP-LLL – Competențe pentru viitor formare la locul de muncă și educația\1.DOCUMENTE OFICIALE\Anexa 3_Criterii_ETFC_STEP-LLL_P11.pdf</t>
        </is>
      </c>
      <c r="C380" s="2" t="inlineStr">
        <is>
          <t>Anexa 3_Criterii_ETFC_STEP-LLL_P11.pdf</t>
        </is>
      </c>
      <c r="D380" s="2" t="inlineStr">
        <is>
          <t>.pdf</t>
        </is>
      </c>
      <c r="E380" s="2" t="n">
        <v>229722</v>
      </c>
      <c r="F380" s="2" t="inlineStr">
        <is>
          <t>2026-06-25T15:28:13</t>
        </is>
      </c>
      <c r="G380" s="2" t="inlineStr">
        <is>
          <t>text PDF integral</t>
        </is>
      </c>
      <c r="H380" s="2" t="inlineStr"/>
    </row>
    <row r="381">
      <c r="A381" s="2" t="inlineStr">
        <is>
          <t>\\192.168.100.169\Comun\00. Proiecte 2026</t>
        </is>
      </c>
      <c r="B381" s="2" t="inlineStr">
        <is>
          <t>\\192.168.100.169\Comun\00. Proiecte 2026\2026.08.28 - STEP-LLL – Competențe pentru viitor formare la locul de muncă și educația\1.DOCUMENTE OFICIALE\Anexa 4_Contract_finantare_STEP-LLL_P11.docx</t>
        </is>
      </c>
      <c r="C381" s="2" t="inlineStr">
        <is>
          <t>Anexa 4_Contract_finantare_STEP-LLL_P11.docx</t>
        </is>
      </c>
      <c r="D381" s="2" t="inlineStr">
        <is>
          <t>.docx</t>
        </is>
      </c>
      <c r="E381" s="2" t="n">
        <v>115169</v>
      </c>
      <c r="F381" s="2" t="inlineStr">
        <is>
          <t>2026-06-25T15:28:13</t>
        </is>
      </c>
      <c r="G381" s="2" t="inlineStr">
        <is>
          <t>text Word integral</t>
        </is>
      </c>
      <c r="H381" s="2" t="inlineStr"/>
    </row>
    <row r="382">
      <c r="A382" s="2" t="inlineStr">
        <is>
          <t>\\192.168.100.169\Comun\00. Proiecte 2026</t>
        </is>
      </c>
      <c r="B382" s="2" t="inlineStr">
        <is>
          <t>\\192.168.100.169\Comun\00. Proiecte 2026\2026.08.28 - STEP-LLL – Competențe pentru viitor formare la locul de muncă și educația\1.DOCUMENTE OFICIALE\Anexa 5_Declaratie_CDFUE_STEP-LLL_P11.docx</t>
        </is>
      </c>
      <c r="C382" s="2" t="inlineStr">
        <is>
          <t>Anexa 5_Declaratie_CDFUE_STEP-LLL_P11.docx</t>
        </is>
      </c>
      <c r="D382" s="2" t="inlineStr">
        <is>
          <t>.docx</t>
        </is>
      </c>
      <c r="E382" s="2" t="n">
        <v>34354</v>
      </c>
      <c r="F382" s="2" t="inlineStr">
        <is>
          <t>2026-06-25T15:28:14</t>
        </is>
      </c>
      <c r="G382" s="2" t="inlineStr">
        <is>
          <t>text Word integral</t>
        </is>
      </c>
      <c r="H382" s="2" t="inlineStr"/>
    </row>
    <row r="383">
      <c r="A383" s="2" t="inlineStr">
        <is>
          <t>\\192.168.100.169\Comun\00. Proiecte 2026</t>
        </is>
      </c>
      <c r="B383" s="2" t="inlineStr">
        <is>
          <t>\\192.168.100.169\Comun\00. Proiecte 2026\2026.08.28 - STEP-LLL – Competențe pentru viitor formare la locul de muncă și educația\1.DOCUMENTE OFICIALE\Anexa 6_Declaratie_CDPD_STEP-LLL_P11.docx</t>
        </is>
      </c>
      <c r="C383" s="2" t="inlineStr">
        <is>
          <t>Anexa 6_Declaratie_CDPD_STEP-LLL_P11.docx</t>
        </is>
      </c>
      <c r="D383" s="2" t="inlineStr">
        <is>
          <t>.docx</t>
        </is>
      </c>
      <c r="E383" s="2" t="n">
        <v>33096</v>
      </c>
      <c r="F383" s="2" t="inlineStr">
        <is>
          <t>2026-06-25T15:28:14</t>
        </is>
      </c>
      <c r="G383" s="2" t="inlineStr">
        <is>
          <t>text Word integral</t>
        </is>
      </c>
      <c r="H383" s="2" t="inlineStr"/>
    </row>
    <row r="384">
      <c r="A384" s="2" t="inlineStr">
        <is>
          <t>\\192.168.100.169\Comun\00. Proiecte 2026</t>
        </is>
      </c>
      <c r="B384" s="2" t="inlineStr">
        <is>
          <t>\\192.168.100.169\Comun\00. Proiecte 2026\2026.08.28 - STEP-LLL – Competențe pentru viitor formare la locul de muncă și educația\1.DOCUMENTE OFICIALE\Anexa 7_Lista tehnologii eligibile STEP-LLL_P11.pdf</t>
        </is>
      </c>
      <c r="C384" s="2" t="inlineStr">
        <is>
          <t>Anexa 7_Lista tehnologii eligibile STEP-LLL_P11.pdf</t>
        </is>
      </c>
      <c r="D384" s="2" t="inlineStr">
        <is>
          <t>.pdf</t>
        </is>
      </c>
      <c r="E384" s="2" t="n">
        <v>124045</v>
      </c>
      <c r="F384" s="2" t="inlineStr">
        <is>
          <t>2026-06-25T15:28:14</t>
        </is>
      </c>
      <c r="G384" s="2" t="inlineStr">
        <is>
          <t>text PDF integral</t>
        </is>
      </c>
      <c r="H384" s="2" t="inlineStr"/>
    </row>
    <row r="385">
      <c r="A385" s="2" t="inlineStr">
        <is>
          <t>\\192.168.100.169\Comun\00. Proiecte 2026</t>
        </is>
      </c>
      <c r="B385" s="2" t="inlineStr">
        <is>
          <t>\\192.168.100.169\Comun\00. Proiecte 2026\2026.08.28 - STEP-LLL – Competențe pentru viitor formare la locul de muncă și educația\1.DOCUMENTE OFICIALE\Anexa 8_Matrice de corelare a domeniilor cu tehnologiile STEP-LLL_P11.docx</t>
        </is>
      </c>
      <c r="C385" s="2" t="inlineStr">
        <is>
          <t>Anexa 8_Matrice de corelare a domeniilor cu tehnologiile STEP-LLL_P11.docx</t>
        </is>
      </c>
      <c r="D385" s="2" t="inlineStr">
        <is>
          <t>.docx</t>
        </is>
      </c>
      <c r="E385" s="2" t="n">
        <v>18703</v>
      </c>
      <c r="F385" s="2" t="inlineStr">
        <is>
          <t>2026-06-25T15:28:14</t>
        </is>
      </c>
      <c r="G385" s="2" t="inlineStr">
        <is>
          <t>text Word integral</t>
        </is>
      </c>
      <c r="H385" s="2" t="inlineStr"/>
    </row>
    <row r="386">
      <c r="A386" s="2" t="inlineStr">
        <is>
          <t>\\192.168.100.169\Comun\00. Proiecte 2026</t>
        </is>
      </c>
      <c r="B386" s="2" t="inlineStr">
        <is>
          <t>\\192.168.100.169\Comun\00. Proiecte 2026\2026.08.28 - STEP-LLL – Competențe pentru viitor formare la locul de muncă și educația\1.DOCUMENTE OFICIALE\CENTRALIZATOR RASPUNSURI.pdf</t>
        </is>
      </c>
      <c r="C386" s="2" t="inlineStr">
        <is>
          <t>CENTRALIZATOR RASPUNSURI.pdf</t>
        </is>
      </c>
      <c r="D386" s="2" t="inlineStr">
        <is>
          <t>.pdf</t>
        </is>
      </c>
      <c r="E386" s="2" t="n">
        <v>594129</v>
      </c>
      <c r="F386" s="2" t="inlineStr">
        <is>
          <t>2026-06-25T15:26:23</t>
        </is>
      </c>
      <c r="G386" s="2" t="inlineStr">
        <is>
          <t>text PDF integral</t>
        </is>
      </c>
      <c r="H386" s="2" t="inlineStr"/>
    </row>
    <row r="387">
      <c r="A387" s="2" t="inlineStr">
        <is>
          <t>\\192.168.100.169\Comun\00. Proiecte 2026</t>
        </is>
      </c>
      <c r="B387" s="2" t="inlineStr">
        <is>
          <t>\\192.168.100.169\Comun\00. Proiecte 2026\2026.08.28 - STEP-LLL – Competențe pentru viitor formare la locul de muncă și educația\1.DOCUMENTE OFICIALE\GSCS_STEP-LLL_P11.pdf</t>
        </is>
      </c>
      <c r="C387" s="2" t="inlineStr">
        <is>
          <t>GSCS_STEP-LLL_P11.pdf</t>
        </is>
      </c>
      <c r="D387" s="2" t="inlineStr">
        <is>
          <t>.pdf</t>
        </is>
      </c>
      <c r="E387" s="2" t="n">
        <v>596365</v>
      </c>
      <c r="F387" s="2" t="inlineStr">
        <is>
          <t>2026-06-25T15:28:15</t>
        </is>
      </c>
      <c r="G387" s="2" t="inlineStr">
        <is>
          <t>text PDF integral</t>
        </is>
      </c>
      <c r="H387" s="2" t="inlineStr"/>
    </row>
    <row r="388">
      <c r="A388" s="2" t="inlineStr">
        <is>
          <t>\\192.168.100.169\Comun\00. Proiecte 2026</t>
        </is>
      </c>
      <c r="B388" s="2" t="inlineStr">
        <is>
          <t>\\192.168.100.169\Comun\00. Proiecte 2026\2026.08.31 - PoCIDIF – Acțiunea 1.1\CONDIȚII DE ELIGIBILITAT1.docx</t>
        </is>
      </c>
      <c r="C388" s="2" t="inlineStr">
        <is>
          <t>CONDIȚII DE ELIGIBILITAT1.docx</t>
        </is>
      </c>
      <c r="D388" s="2" t="inlineStr">
        <is>
          <t>.docx</t>
        </is>
      </c>
      <c r="E388" s="2" t="n">
        <v>26427</v>
      </c>
      <c r="F388" s="2" t="inlineStr">
        <is>
          <t>2026-06-26T13:37:00</t>
        </is>
      </c>
      <c r="G388" s="2" t="inlineStr">
        <is>
          <t>text Word integral</t>
        </is>
      </c>
      <c r="H388" s="2" t="inlineStr"/>
    </row>
    <row r="389">
      <c r="A389" s="2" t="inlineStr">
        <is>
          <t>\\192.168.100.169\Comun\00. Proiecte 2026</t>
        </is>
      </c>
      <c r="B389" s="2" t="inlineStr">
        <is>
          <t>\\192.168.100.169\Comun\00. Proiecte 2026\2026.08.31 - PoCIDIF – Acțiunea 1.1\1. DOCUMENTE OFICIALE\Anexa 1 - Model si instructiuni de completare Cerere de Finantare.docx</t>
        </is>
      </c>
      <c r="C389" s="2" t="inlineStr">
        <is>
          <t>Anexa 1 - Model si instructiuni de completare Cerere de Finantare.docx</t>
        </is>
      </c>
      <c r="D389" s="2" t="inlineStr">
        <is>
          <t>.docx</t>
        </is>
      </c>
      <c r="E389" s="2" t="n">
        <v>102191</v>
      </c>
      <c r="F389" s="2" t="inlineStr">
        <is>
          <t>2026-06-25T15:18:43</t>
        </is>
      </c>
      <c r="G389" s="2" t="inlineStr">
        <is>
          <t>text Word integral</t>
        </is>
      </c>
      <c r="H389" s="2" t="inlineStr"/>
    </row>
    <row r="390">
      <c r="A390" s="2" t="inlineStr">
        <is>
          <t>\\192.168.100.169\Comun\00. Proiecte 2026</t>
        </is>
      </c>
      <c r="B390" s="2" t="inlineStr">
        <is>
          <t>\\192.168.100.169\Comun\00. Proiecte 2026\2026.08.31 - PoCIDIF – Acțiunea 1.1\1. DOCUMENTE OFICIALE\Anexa 10- Model de Plan de afaceri.docx</t>
        </is>
      </c>
      <c r="C390" s="2" t="inlineStr">
        <is>
          <t>Anexa 10- Model de Plan de afaceri.docx</t>
        </is>
      </c>
      <c r="D390" s="2" t="inlineStr">
        <is>
          <t>.docx</t>
        </is>
      </c>
      <c r="E390" s="2" t="n">
        <v>41760</v>
      </c>
      <c r="F390" s="2" t="inlineStr">
        <is>
          <t>2026-06-25T15:18:45</t>
        </is>
      </c>
      <c r="G390" s="2" t="inlineStr">
        <is>
          <t>text Word integral</t>
        </is>
      </c>
      <c r="H390" s="2" t="inlineStr"/>
    </row>
    <row r="391">
      <c r="A391" s="2" t="inlineStr">
        <is>
          <t>\\192.168.100.169\Comun\00. Proiecte 2026</t>
        </is>
      </c>
      <c r="B391" s="2" t="inlineStr">
        <is>
          <t>\\192.168.100.169\Comun\00. Proiecte 2026\2026.08.31 - PoCIDIF – Acțiunea 1.1\1. DOCUMENTE OFICIALE\Anexa 11  - Lista domeniilor si a subdomeniilor de specializare inteligenta sprijinite.docx</t>
        </is>
      </c>
      <c r="C391" s="2" t="inlineStr">
        <is>
          <t>Anexa 11  - Lista domeniilor si a subdomeniilor de specializare inteligenta sprijinite.docx</t>
        </is>
      </c>
      <c r="D391" s="2" t="inlineStr">
        <is>
          <t>.docx</t>
        </is>
      </c>
      <c r="E391" s="2" t="n">
        <v>27996</v>
      </c>
      <c r="F391" s="2" t="inlineStr">
        <is>
          <t>2026-06-25T15:18:45</t>
        </is>
      </c>
      <c r="G391" s="2" t="inlineStr">
        <is>
          <t>text Word integral</t>
        </is>
      </c>
      <c r="H391" s="2" t="inlineStr"/>
    </row>
    <row r="392">
      <c r="A392" s="2" t="inlineStr">
        <is>
          <t>\\192.168.100.169\Comun\00. Proiecte 2026</t>
        </is>
      </c>
      <c r="B392" s="2" t="inlineStr">
        <is>
          <t>\\192.168.100.169\Comun\00. Proiecte 2026\2026.08.31 - PoCIDIF – Acțiunea 1.1\1. DOCUMENTE OFICIALE\Anexa 12 - Grila de verificare eligibilitate si contractare.docx</t>
        </is>
      </c>
      <c r="C392" s="2" t="inlineStr">
        <is>
          <t>Anexa 12 - Grila de verificare eligibilitate si contractare.docx</t>
        </is>
      </c>
      <c r="D392" s="2" t="inlineStr">
        <is>
          <t>.docx</t>
        </is>
      </c>
      <c r="E392" s="2" t="n">
        <v>44512</v>
      </c>
      <c r="F392" s="2" t="inlineStr">
        <is>
          <t>2026-06-25T15:18:46</t>
        </is>
      </c>
      <c r="G392" s="2" t="inlineStr">
        <is>
          <t>text Word integral</t>
        </is>
      </c>
      <c r="H392" s="2" t="inlineStr"/>
    </row>
    <row r="393">
      <c r="A393" s="2" t="inlineStr">
        <is>
          <t>\\192.168.100.169\Comun\00. Proiecte 2026</t>
        </is>
      </c>
      <c r="B393" s="2" t="inlineStr">
        <is>
          <t>\\192.168.100.169\Comun\00. Proiecte 2026\2026.08.31 - PoCIDIF – Acțiunea 1.1\1. DOCUMENTE OFICIALE\Anexa 13 - Grila de evaluare tehnica si financiara.docx</t>
        </is>
      </c>
      <c r="C393" s="2" t="inlineStr">
        <is>
          <t>Anexa 13 - Grila de evaluare tehnica si financiara.docx</t>
        </is>
      </c>
      <c r="D393" s="2" t="inlineStr">
        <is>
          <t>.docx</t>
        </is>
      </c>
      <c r="E393" s="2" t="n">
        <v>64279</v>
      </c>
      <c r="F393" s="2" t="inlineStr">
        <is>
          <t>2026-06-25T15:18:46</t>
        </is>
      </c>
      <c r="G393" s="2" t="inlineStr">
        <is>
          <t>text Word integral</t>
        </is>
      </c>
      <c r="H393" s="2" t="inlineStr"/>
    </row>
    <row r="394">
      <c r="A394" s="2" t="inlineStr">
        <is>
          <t>\\192.168.100.169\Comun\00. Proiecte 2026</t>
        </is>
      </c>
      <c r="B394" s="2" t="inlineStr">
        <is>
          <t>\\192.168.100.169\Comun\00. Proiecte 2026\2026.08.31 - PoCIDIF – Acțiunea 1.1\1. DOCUMENTE OFICIALE\Anexa 14 - Model orientativ de Hotarâre de aprobare a proiectului.docx</t>
        </is>
      </c>
      <c r="C394" s="2" t="inlineStr">
        <is>
          <t>Anexa 14 - Model orientativ de Hotarâre de aprobare a proiectului.docx</t>
        </is>
      </c>
      <c r="D394" s="2" t="inlineStr">
        <is>
          <t>.docx</t>
        </is>
      </c>
      <c r="E394" s="2" t="n">
        <v>24001</v>
      </c>
      <c r="F394" s="2" t="inlineStr">
        <is>
          <t>2026-06-25T15:18:46</t>
        </is>
      </c>
      <c r="G394" s="2" t="inlineStr">
        <is>
          <t>text Word integral</t>
        </is>
      </c>
      <c r="H394" s="2" t="inlineStr"/>
    </row>
    <row r="395">
      <c r="A395" s="2" t="inlineStr">
        <is>
          <t>\\192.168.100.169\Comun\00. Proiecte 2026</t>
        </is>
      </c>
      <c r="B395" s="2" t="inlineStr">
        <is>
          <t>\\192.168.100.169\Comun\00. Proiecte 2026\2026.08.31 - PoCIDIF – Acțiunea 1.1\1. DOCUMENTE OFICIALE\Anexa 15 - Scara nivelelor de maturitate tehnologica (TRL).docx</t>
        </is>
      </c>
      <c r="C395" s="2" t="inlineStr">
        <is>
          <t>Anexa 15 - Scara nivelelor de maturitate tehnologica (TRL).docx</t>
        </is>
      </c>
      <c r="D395" s="2" t="inlineStr">
        <is>
          <t>.docx</t>
        </is>
      </c>
      <c r="E395" s="2" t="n">
        <v>21249</v>
      </c>
      <c r="F395" s="2" t="inlineStr">
        <is>
          <t>2026-06-25T15:18:46</t>
        </is>
      </c>
      <c r="G395" s="2" t="inlineStr">
        <is>
          <t>text Word integral</t>
        </is>
      </c>
      <c r="H395" s="2" t="inlineStr"/>
    </row>
    <row r="396">
      <c r="A396" s="2" t="inlineStr">
        <is>
          <t>\\192.168.100.169\Comun\00. Proiecte 2026</t>
        </is>
      </c>
      <c r="B396" s="2" t="inlineStr">
        <is>
          <t>\\192.168.100.169\Comun\00. Proiecte 2026\2026.08.31 - PoCIDIF – Acțiunea 1.1\1. DOCUMENTE OFICIALE\Anexa 16 - Tabel corelare buget-activități.xlsx</t>
        </is>
      </c>
      <c r="C396" s="2" t="inlineStr">
        <is>
          <t>Anexa 16 - Tabel corelare buget-activități.xlsx</t>
        </is>
      </c>
      <c r="D396" s="2" t="inlineStr">
        <is>
          <t>.xlsx</t>
        </is>
      </c>
      <c r="E396" s="2" t="n">
        <v>16162</v>
      </c>
      <c r="F396" s="2" t="inlineStr">
        <is>
          <t>2026-06-25T15:18:47</t>
        </is>
      </c>
      <c r="G396" s="2" t="inlineStr">
        <is>
          <t>valori Excel; fără obiecte încorporate</t>
        </is>
      </c>
      <c r="H396" s="2" t="inlineStr"/>
    </row>
    <row r="397">
      <c r="A397" s="2" t="inlineStr">
        <is>
          <t>\\192.168.100.169\Comun\00. Proiecte 2026</t>
        </is>
      </c>
      <c r="B397" s="2" t="inlineStr">
        <is>
          <t>\\192.168.100.169\Comun\00. Proiecte 2026\2026.08.31 - PoCIDIF – Acțiunea 1.1\1. DOCUMENTE OFICIALE\Anexa 17 - Model Plan de actiune transfer tehnologic.docx</t>
        </is>
      </c>
      <c r="C397" s="2" t="inlineStr">
        <is>
          <t>Anexa 17 - Model Plan de actiune transfer tehnologic.docx</t>
        </is>
      </c>
      <c r="D397" s="2" t="inlineStr">
        <is>
          <t>.docx</t>
        </is>
      </c>
      <c r="E397" s="2" t="n">
        <v>28816</v>
      </c>
      <c r="F397" s="2" t="inlineStr">
        <is>
          <t>2026-06-25T15:18:47</t>
        </is>
      </c>
      <c r="G397" s="2" t="inlineStr">
        <is>
          <t>text Word integral</t>
        </is>
      </c>
      <c r="H397" s="2" t="inlineStr"/>
    </row>
    <row r="398">
      <c r="A398" s="2" t="inlineStr">
        <is>
          <t>\\192.168.100.169\Comun\00. Proiecte 2026</t>
        </is>
      </c>
      <c r="B398" s="2" t="inlineStr">
        <is>
          <t>\\192.168.100.169\Comun\00. Proiecte 2026\2026.08.31 - PoCIDIF – Acțiunea 1.1\1. DOCUMENTE OFICIALE\Anexa 18 - Model de calcul indicator RCO06.xlsx</t>
        </is>
      </c>
      <c r="C398" s="2" t="inlineStr">
        <is>
          <t>Anexa 18 - Model de calcul indicator RCO06.xlsx</t>
        </is>
      </c>
      <c r="D398" s="2" t="inlineStr">
        <is>
          <t>.xlsx</t>
        </is>
      </c>
      <c r="E398" s="2" t="n">
        <v>14351</v>
      </c>
      <c r="F398" s="2" t="inlineStr">
        <is>
          <t>2026-06-25T15:18:47</t>
        </is>
      </c>
      <c r="G398" s="2" t="inlineStr">
        <is>
          <t>valori Excel; fără obiecte încorporate</t>
        </is>
      </c>
      <c r="H398" s="2" t="inlineStr"/>
    </row>
    <row r="399">
      <c r="A399" s="2" t="inlineStr">
        <is>
          <t>\\192.168.100.169\Comun\00. Proiecte 2026</t>
        </is>
      </c>
      <c r="B399" s="2" t="inlineStr">
        <is>
          <t>\\192.168.100.169\Comun\00. Proiecte 2026\2026.08.31 - PoCIDIF – Acțiunea 1.1\1. DOCUMENTE OFICIALE\Anexa 19 - Metodologie verificare IMM.docx</t>
        </is>
      </c>
      <c r="C399" s="2" t="inlineStr">
        <is>
          <t>Anexa 19 - Metodologie verificare IMM.docx</t>
        </is>
      </c>
      <c r="D399" s="2" t="inlineStr">
        <is>
          <t>.docx</t>
        </is>
      </c>
      <c r="E399" s="2" t="n">
        <v>48339</v>
      </c>
      <c r="F399" s="2" t="inlineStr">
        <is>
          <t>2026-06-25T15:18:47</t>
        </is>
      </c>
      <c r="G399" s="2" t="inlineStr">
        <is>
          <t>text Word integral</t>
        </is>
      </c>
      <c r="H399" s="2" t="inlineStr"/>
    </row>
    <row r="400">
      <c r="A400" s="2" t="inlineStr">
        <is>
          <t>\\192.168.100.169\Comun\00. Proiecte 2026</t>
        </is>
      </c>
      <c r="B400" s="2" t="inlineStr">
        <is>
          <t>\\192.168.100.169\Comun\00. Proiecte 2026\2026.08.31 - PoCIDIF – Acțiunea 1.1\1. DOCUMENTE OFICIALE\Anexa 2- Declaratia unica.docx</t>
        </is>
      </c>
      <c r="C400" s="2" t="inlineStr">
        <is>
          <t>Anexa 2- Declaratia unica.docx</t>
        </is>
      </c>
      <c r="D400" s="2" t="inlineStr">
        <is>
          <t>.docx</t>
        </is>
      </c>
      <c r="E400" s="2" t="n">
        <v>44638</v>
      </c>
      <c r="F400" s="2" t="inlineStr">
        <is>
          <t>2026-06-25T15:18:43</t>
        </is>
      </c>
      <c r="G400" s="2" t="inlineStr">
        <is>
          <t>text Word integral</t>
        </is>
      </c>
      <c r="H400" s="2" t="inlineStr"/>
    </row>
    <row r="401">
      <c r="A401" s="2" t="inlineStr">
        <is>
          <t>\\192.168.100.169\Comun\00. Proiecte 2026</t>
        </is>
      </c>
      <c r="B401" s="2" t="inlineStr">
        <is>
          <t>\\192.168.100.169\Comun\00. Proiecte 2026\2026.08.31 - PoCIDIF – Acțiunea 1.1\1. DOCUMENTE OFICIALE\Anexa 20 - metodologie-verificare-intreprindere-in-dificultate_pos_pocidif.docx</t>
        </is>
      </c>
      <c r="C401" s="2" t="inlineStr">
        <is>
          <t>Anexa 20 - metodologie-verificare-intreprindere-in-dificultate_pos_pocidif.docx</t>
        </is>
      </c>
      <c r="D401" s="2" t="inlineStr">
        <is>
          <t>.docx</t>
        </is>
      </c>
      <c r="E401" s="2" t="n">
        <v>58766</v>
      </c>
      <c r="F401" s="2" t="inlineStr">
        <is>
          <t>2026-06-25T15:18:48</t>
        </is>
      </c>
      <c r="G401" s="2" t="inlineStr">
        <is>
          <t>text Word integral</t>
        </is>
      </c>
      <c r="H401" s="2" t="inlineStr"/>
    </row>
    <row r="402">
      <c r="A402" s="2" t="inlineStr">
        <is>
          <t>\\192.168.100.169\Comun\00. Proiecte 2026</t>
        </is>
      </c>
      <c r="B402" s="2" t="inlineStr">
        <is>
          <t>\\192.168.100.169\Comun\00. Proiecte 2026\2026.08.31 - PoCIDIF – Acțiunea 1.1\1. DOCUMENTE OFICIALE\Anexa 21 - Calculator_Eligibilitate_Amortizare_cu_valori.xlsx</t>
        </is>
      </c>
      <c r="C402" s="2" t="inlineStr">
        <is>
          <t>Anexa 21 - Calculator_Eligibilitate_Amortizare_cu_valori.xlsx</t>
        </is>
      </c>
      <c r="D402" s="2" t="inlineStr">
        <is>
          <t>.xlsx</t>
        </is>
      </c>
      <c r="E402" s="2" t="n">
        <v>46672</v>
      </c>
      <c r="F402" s="2" t="inlineStr">
        <is>
          <t>2026-06-25T15:18:48</t>
        </is>
      </c>
      <c r="G402" s="2" t="inlineStr">
        <is>
          <t>valori Excel; fără obiecte încorporate</t>
        </is>
      </c>
      <c r="H402" s="2" t="inlineStr"/>
    </row>
    <row r="403">
      <c r="A403" s="2" t="inlineStr">
        <is>
          <t>\\192.168.100.169\Comun\00. Proiecte 2026</t>
        </is>
      </c>
      <c r="B403" s="2" t="inlineStr">
        <is>
          <t>\\192.168.100.169\Comun\00. Proiecte 2026\2026.08.31 - PoCIDIF – Acțiunea 1.1\1. DOCUMENTE OFICIALE\Anexa 3 - Metodologie verificare principiu DNSH.docx</t>
        </is>
      </c>
      <c r="C403" s="2" t="inlineStr">
        <is>
          <t>Anexa 3 - Metodologie verificare principiu DNSH.docx</t>
        </is>
      </c>
      <c r="D403" s="2" t="inlineStr">
        <is>
          <t>.docx</t>
        </is>
      </c>
      <c r="E403" s="2" t="n">
        <v>43008</v>
      </c>
      <c r="F403" s="2" t="inlineStr">
        <is>
          <t>2026-06-25T15:18:43</t>
        </is>
      </c>
      <c r="G403" s="2" t="inlineStr">
        <is>
          <t>text Word integral</t>
        </is>
      </c>
      <c r="H403" s="2" t="inlineStr"/>
    </row>
    <row r="404">
      <c r="A404" s="2" t="inlineStr">
        <is>
          <t>\\192.168.100.169\Comun\00. Proiecte 2026</t>
        </is>
      </c>
      <c r="B404" s="2" t="inlineStr">
        <is>
          <t>\\192.168.100.169\Comun\00. Proiecte 2026\2026.08.31 - PoCIDIF – Acțiunea 1.1\1. DOCUMENTE OFICIALE\Anexa 4 -Plan monitorizare a proiectului.docx</t>
        </is>
      </c>
      <c r="C404" s="2" t="inlineStr">
        <is>
          <t>Anexa 4 -Plan monitorizare a proiectului.docx</t>
        </is>
      </c>
      <c r="D404" s="2" t="inlineStr">
        <is>
          <t>.docx</t>
        </is>
      </c>
      <c r="E404" s="2" t="n">
        <v>35858</v>
      </c>
      <c r="F404" s="2" t="inlineStr">
        <is>
          <t>2026-06-25T15:18:43</t>
        </is>
      </c>
      <c r="G404" s="2" t="inlineStr">
        <is>
          <t>text Word integral</t>
        </is>
      </c>
      <c r="H404" s="2" t="inlineStr"/>
    </row>
    <row r="405">
      <c r="A405" s="2" t="inlineStr">
        <is>
          <t>\\192.168.100.169\Comun\00. Proiecte 2026</t>
        </is>
      </c>
      <c r="B405" s="2" t="inlineStr">
        <is>
          <t>\\192.168.100.169\Comun\00. Proiecte 2026\2026.08.31 - PoCIDIF – Acțiunea 1.1\1. DOCUMENTE OFICIALE\Anexa 5 - Model contract de finantare+conditii specifice.docx</t>
        </is>
      </c>
      <c r="C405" s="2" t="inlineStr">
        <is>
          <t>Anexa 5 - Model contract de finantare+conditii specifice.docx</t>
        </is>
      </c>
      <c r="D405" s="2" t="inlineStr">
        <is>
          <t>.docx</t>
        </is>
      </c>
      <c r="E405" s="2" t="n">
        <v>101300</v>
      </c>
      <c r="F405" s="2" t="inlineStr">
        <is>
          <t>2026-06-25T15:18:44</t>
        </is>
      </c>
      <c r="G405" s="2" t="inlineStr">
        <is>
          <t>text Word integral</t>
        </is>
      </c>
      <c r="H405" s="2" t="inlineStr"/>
    </row>
    <row r="406">
      <c r="A406" s="2" t="inlineStr">
        <is>
          <t>\\192.168.100.169\Comun\00. Proiecte 2026</t>
        </is>
      </c>
      <c r="B406" s="2" t="inlineStr">
        <is>
          <t>\\192.168.100.169\Comun\00. Proiecte 2026\2026.08.31 - PoCIDIF – Acțiunea 1.1\1. DOCUMENTE OFICIALE\Anexa 6 - Consimtamant privind prelucrarea datelor.docx</t>
        </is>
      </c>
      <c r="C406" s="2" t="inlineStr">
        <is>
          <t>Anexa 6 - Consimtamant privind prelucrarea datelor.docx</t>
        </is>
      </c>
      <c r="D406" s="2" t="inlineStr">
        <is>
          <t>.docx</t>
        </is>
      </c>
      <c r="E406" s="2" t="n">
        <v>18551</v>
      </c>
      <c r="F406" s="2" t="inlineStr">
        <is>
          <t>2026-06-25T15:18:44</t>
        </is>
      </c>
      <c r="G406" s="2" t="inlineStr">
        <is>
          <t>text Word integral</t>
        </is>
      </c>
      <c r="H406" s="2" t="inlineStr"/>
    </row>
    <row r="407">
      <c r="A407" s="2" t="inlineStr">
        <is>
          <t>\\192.168.100.169\Comun\00. Proiecte 2026</t>
        </is>
      </c>
      <c r="B407" s="2" t="inlineStr">
        <is>
          <t>\\192.168.100.169\Comun\00. Proiecte 2026\2026.08.31 - PoCIDIF – Acțiunea 1.1\1. DOCUMENTE OFICIALE\Anexa 7 - Model de Acord  (model orientativ).DOC</t>
        </is>
      </c>
      <c r="C407" s="2" t="inlineStr">
        <is>
          <t>Anexa 7 - Model de Acord  (model orientativ).DOC</t>
        </is>
      </c>
      <c r="D407" s="2" t="inlineStr">
        <is>
          <t>.doc</t>
        </is>
      </c>
      <c r="E407" s="2" t="n">
        <v>106496</v>
      </c>
      <c r="F407" s="2" t="inlineStr">
        <is>
          <t>2026-06-25T15:18:44</t>
        </is>
      </c>
      <c r="G407" s="2" t="inlineStr">
        <is>
          <t>format non analysé</t>
        </is>
      </c>
      <c r="H407" s="2" t="inlineStr"/>
    </row>
    <row r="408">
      <c r="A408" s="2" t="inlineStr">
        <is>
          <t>\\192.168.100.169\Comun\00. Proiecte 2026</t>
        </is>
      </c>
      <c r="B408" s="2" t="inlineStr">
        <is>
          <t>\\192.168.100.169\Comun\00. Proiecte 2026\2026.08.31 - PoCIDIF – Acțiunea 1.1\1. DOCUMENTE OFICIALE\Anexa 8 a Macheta financiara_PTI_IMM lider.xlsx</t>
        </is>
      </c>
      <c r="C408" s="2" t="inlineStr">
        <is>
          <t>Anexa 8 a Macheta financiara_PTI_IMM lider.xlsx</t>
        </is>
      </c>
      <c r="D408" s="2" t="inlineStr">
        <is>
          <t>.xlsx</t>
        </is>
      </c>
      <c r="E408" s="2" t="n">
        <v>84318</v>
      </c>
      <c r="F408" s="2" t="inlineStr">
        <is>
          <t>2026-06-25T15:18:44</t>
        </is>
      </c>
      <c r="G408" s="2" t="inlineStr">
        <is>
          <t>valori Excel; fără obiecte încorporate</t>
        </is>
      </c>
      <c r="H408" s="2" t="inlineStr"/>
    </row>
    <row r="409">
      <c r="A409" s="2" t="inlineStr">
        <is>
          <t>\\192.168.100.169\Comun\00. Proiecte 2026</t>
        </is>
      </c>
      <c r="B409" s="2" t="inlineStr">
        <is>
          <t>\\192.168.100.169\Comun\00. Proiecte 2026\2026.08.31 - PoCIDIF – Acțiunea 1.1\1. DOCUMENTE OFICIALE\Anexa 8 b Macheta financiara_PTI_OC lider.xlsx</t>
        </is>
      </c>
      <c r="C409" s="2" t="inlineStr">
        <is>
          <t>Anexa 8 b Macheta financiara_PTI_OC lider.xlsx</t>
        </is>
      </c>
      <c r="D409" s="2" t="inlineStr">
        <is>
          <t>.xlsx</t>
        </is>
      </c>
      <c r="E409" s="2" t="n">
        <v>84407</v>
      </c>
      <c r="F409" s="2" t="inlineStr">
        <is>
          <t>2026-06-25T15:18:45</t>
        </is>
      </c>
      <c r="G409" s="2" t="inlineStr">
        <is>
          <t>valori Excel; fără obiecte încorporate</t>
        </is>
      </c>
      <c r="H409" s="2" t="inlineStr"/>
    </row>
    <row r="410">
      <c r="A410" s="2" t="inlineStr">
        <is>
          <t>\\192.168.100.169\Comun\00. Proiecte 2026</t>
        </is>
      </c>
      <c r="B410" s="2" t="inlineStr">
        <is>
          <t>\\192.168.100.169\Comun\00. Proiecte 2026\2026.08.31 - PoCIDIF – Acțiunea 1.1\1. DOCUMENTE OFICIALE\Anexa 9 - Nota privind fundamentarea costurilor.doc</t>
        </is>
      </c>
      <c r="C410" s="2" t="inlineStr">
        <is>
          <t>Anexa 9 - Nota privind fundamentarea costurilor.doc</t>
        </is>
      </c>
      <c r="D410" s="2" t="inlineStr">
        <is>
          <t>.doc</t>
        </is>
      </c>
      <c r="E410" s="2" t="n">
        <v>61952</v>
      </c>
      <c r="F410" s="2" t="inlineStr">
        <is>
          <t>2026-06-25T15:18:45</t>
        </is>
      </c>
      <c r="G410" s="2" t="inlineStr">
        <is>
          <t>format non analysé</t>
        </is>
      </c>
      <c r="H410" s="2" t="inlineStr"/>
    </row>
    <row r="411">
      <c r="A411" s="2" t="inlineStr">
        <is>
          <t>\\192.168.100.169\Comun\00. Proiecte 2026</t>
        </is>
      </c>
      <c r="B411" s="2" t="inlineStr">
        <is>
          <t>\\192.168.100.169\Comun\00. Proiecte 2026\2026.08.31 - PoCIDIF – Acțiunea 1.1\1. DOCUMENTE OFICIALE\Ghid PTI _.pdf</t>
        </is>
      </c>
      <c r="C411" s="2" t="inlineStr">
        <is>
          <t>Ghid PTI _.pdf</t>
        </is>
      </c>
      <c r="D411" s="2" t="inlineStr">
        <is>
          <t>.pdf</t>
        </is>
      </c>
      <c r="E411" s="2" t="n">
        <v>1641713</v>
      </c>
      <c r="F411" s="2" t="inlineStr">
        <is>
          <t>2026-06-25T15:18:48</t>
        </is>
      </c>
      <c r="G411" s="2" t="inlineStr">
        <is>
          <t>text PDF integral</t>
        </is>
      </c>
      <c r="H411" s="2" t="inlineStr"/>
    </row>
    <row r="412">
      <c r="A412" s="2" t="inlineStr">
        <is>
          <t>\\192.168.100.169\Comun\00. Proiecte 2026</t>
        </is>
      </c>
      <c r="B412" s="2" t="inlineStr">
        <is>
          <t>\\192.168.100.169\Comun\00. Proiecte 2026\2026.08.31 - PoCIDIF – Acțiunea 1.1\1. DOCUMENTE OFICIALE\Ordinul MIPE nr. 772_28.05.2026.pdf</t>
        </is>
      </c>
      <c r="C412" s="2" t="inlineStr">
        <is>
          <t>Ordinul MIPE nr. 772_28.05.2026.pdf</t>
        </is>
      </c>
      <c r="D412" s="2" t="inlineStr">
        <is>
          <t>.pdf</t>
        </is>
      </c>
      <c r="E412" s="2" t="n">
        <v>120969</v>
      </c>
      <c r="F412" s="2" t="inlineStr">
        <is>
          <t>2026-06-25T15:18:49</t>
        </is>
      </c>
      <c r="G412" s="2" t="inlineStr">
        <is>
          <t>text PDF integral</t>
        </is>
      </c>
      <c r="H412" s="2" t="inlineStr"/>
    </row>
    <row r="413">
      <c r="A413" s="2" t="inlineStr">
        <is>
          <t>\\192.168.100.169\Comun\00. Proiecte 2026</t>
        </is>
      </c>
      <c r="B413" s="2" t="inlineStr">
        <is>
          <t>\\192.168.100.169\Comun\00. Proiecte 2026\2026.10.20 - Administrator parc UAT IMM INDIRECT 1.5.2 Parcuri industriale în domenii RIS\CONDIȚII DE ELIGIBILITATE.docx</t>
        </is>
      </c>
      <c r="C413" s="2" t="inlineStr">
        <is>
          <t>CONDIȚII DE ELIGIBILITATE.docx</t>
        </is>
      </c>
      <c r="D413" s="2" t="inlineStr">
        <is>
          <t>.docx</t>
        </is>
      </c>
      <c r="E413" s="2" t="n">
        <v>24443</v>
      </c>
      <c r="F413" s="2" t="inlineStr">
        <is>
          <t>2026-06-26T14:02:47</t>
        </is>
      </c>
      <c r="G413" s="2" t="inlineStr">
        <is>
          <t>text Word integral</t>
        </is>
      </c>
      <c r="H413" s="2" t="inlineStr"/>
    </row>
    <row r="414">
      <c r="A414" s="2" t="inlineStr">
        <is>
          <t>\\192.168.100.169\Comun\00. Proiecte 2026</t>
        </is>
      </c>
      <c r="B414" s="2" t="inlineStr">
        <is>
          <t>\\192.168.100.169\Comun\00. Proiecte 2026\2026.10.20 - Administrator parc UAT IMM INDIRECT 1.5.2 Parcuri industriale în domenii RIS\1. DOCUMENTE OFICIALE\Ghidul-solicitantului-Interventia-1.5.2-.pdf</t>
        </is>
      </c>
      <c r="C414" s="2" t="inlineStr">
        <is>
          <t>Ghidul-solicitantului-Interventia-1.5.2-.pdf</t>
        </is>
      </c>
      <c r="D414" s="2" t="inlineStr">
        <is>
          <t>.pdf</t>
        </is>
      </c>
      <c r="E414" s="2" t="n">
        <v>1877650</v>
      </c>
      <c r="F414" s="2" t="inlineStr">
        <is>
          <t>2026-06-25T14:33:38</t>
        </is>
      </c>
      <c r="G414" s="2" t="inlineStr">
        <is>
          <t>text PDF integral</t>
        </is>
      </c>
      <c r="H414" s="2" t="inlineStr"/>
    </row>
    <row r="415">
      <c r="A415" s="2" t="inlineStr">
        <is>
          <t>\\192.168.100.169\Comun\00. Proiecte 2026</t>
        </is>
      </c>
      <c r="B415" s="2" t="inlineStr">
        <is>
          <t>\\192.168.100.169\Comun\00. Proiecte 2026\2026.10.20 - Administrator parc UAT IMM INDIRECT 1.5.2 Parcuri industriale în domenii RIS\1. DOCUMENTE OFICIALE\ANEXE\Anexa 1- Instrucțiuni de completare CF-1.5.2.docx</t>
        </is>
      </c>
      <c r="C415" s="2" t="inlineStr">
        <is>
          <t>Anexa 1- Instrucțiuni de completare CF-1.5.2.docx</t>
        </is>
      </c>
      <c r="D415" s="2" t="inlineStr">
        <is>
          <t>.docx</t>
        </is>
      </c>
      <c r="E415" s="2" t="n">
        <v>7076007</v>
      </c>
      <c r="F415" s="2" t="inlineStr">
        <is>
          <t>2026-06-25T14:35:09</t>
        </is>
      </c>
      <c r="G415" s="2" t="inlineStr">
        <is>
          <t>text Word integral</t>
        </is>
      </c>
      <c r="H415" s="2" t="inlineStr"/>
    </row>
    <row r="416">
      <c r="A416" s="2" t="inlineStr">
        <is>
          <t>\\192.168.100.169\Comun\00. Proiecte 2026</t>
        </is>
      </c>
      <c r="B416" s="2" t="inlineStr">
        <is>
          <t>\\192.168.100.169\Comun\00. Proiecte 2026\2026.10.20 - Administrator parc UAT IMM INDIRECT 1.5.2 Parcuri industriale în domenii RIS\1. DOCUMENTE OFICIALE\ANEXE\Anexa 10- Notă privind fundamentarea costurilor.docx</t>
        </is>
      </c>
      <c r="C416" s="2" t="inlineStr">
        <is>
          <t>Anexa 10- Notă privind fundamentarea costurilor.docx</t>
        </is>
      </c>
      <c r="D416" s="2" t="inlineStr">
        <is>
          <t>.docx</t>
        </is>
      </c>
      <c r="E416" s="2" t="n">
        <v>900733</v>
      </c>
      <c r="F416" s="2" t="inlineStr">
        <is>
          <t>2026-06-25T14:35:04</t>
        </is>
      </c>
      <c r="G416" s="2" t="inlineStr">
        <is>
          <t>text Word integral</t>
        </is>
      </c>
      <c r="H416" s="2" t="inlineStr"/>
    </row>
    <row r="417">
      <c r="A417" s="2" t="inlineStr">
        <is>
          <t>\\192.168.100.169\Comun\00. Proiecte 2026</t>
        </is>
      </c>
      <c r="B417" s="2" t="inlineStr">
        <is>
          <t>\\192.168.100.169\Comun\00. Proiecte 2026\2026.10.20 - Administrator parc UAT IMM INDIRECT 1.5.2 Parcuri industriale în domenii RIS\1. DOCUMENTE OFICIALE\ANEXE\Anexa 11- Lista de echipamente dotări lucrări servicii.docx</t>
        </is>
      </c>
      <c r="C417" s="2" t="inlineStr">
        <is>
          <t>Anexa 11- Lista de echipamente dotări lucrări servicii.docx</t>
        </is>
      </c>
      <c r="D417" s="2" t="inlineStr">
        <is>
          <t>.docx</t>
        </is>
      </c>
      <c r="E417" s="2" t="n">
        <v>902014</v>
      </c>
      <c r="F417" s="2" t="inlineStr">
        <is>
          <t>2026-06-25T14:35:05</t>
        </is>
      </c>
      <c r="G417" s="2" t="inlineStr">
        <is>
          <t>text Word integral</t>
        </is>
      </c>
      <c r="H417" s="2" t="inlineStr"/>
    </row>
    <row r="418">
      <c r="A418" s="2" t="inlineStr">
        <is>
          <t>\\192.168.100.169\Comun\00. Proiecte 2026</t>
        </is>
      </c>
      <c r="B418" s="2" t="inlineStr">
        <is>
          <t>\\192.168.100.169\Comun\00. Proiecte 2026\2026.10.20 - Administrator parc UAT IMM INDIRECT 1.5.2 Parcuri industriale în domenii RIS\1. DOCUMENTE OFICIALE\ANEXE\Anexa 12- Tabel centralizator numere cadastrale.docx</t>
        </is>
      </c>
      <c r="C418" s="2" t="inlineStr">
        <is>
          <t>Anexa 12- Tabel centralizator numere cadastrale.docx</t>
        </is>
      </c>
      <c r="D418" s="2" t="inlineStr">
        <is>
          <t>.docx</t>
        </is>
      </c>
      <c r="E418" s="2" t="n">
        <v>902222</v>
      </c>
      <c r="F418" s="2" t="inlineStr">
        <is>
          <t>2026-06-25T14:35:05</t>
        </is>
      </c>
      <c r="G418" s="2" t="inlineStr">
        <is>
          <t>text Word integral</t>
        </is>
      </c>
      <c r="H418" s="2" t="inlineStr"/>
    </row>
    <row r="419">
      <c r="A419" s="2" t="inlineStr">
        <is>
          <t>\\192.168.100.169\Comun\00. Proiecte 2026</t>
        </is>
      </c>
      <c r="B419" s="2" t="inlineStr">
        <is>
          <t>\\192.168.100.169\Comun\00. Proiecte 2026\2026.10.20 - Administrator parc UAT IMM INDIRECT 1.5.2 Parcuri industriale în domenii RIS\1. DOCUMENTE OFICIALE\ANEXE\Anexa 13- Planul de dezvoltare parcuri industriale-.docx</t>
        </is>
      </c>
      <c r="C419" s="2" t="inlineStr">
        <is>
          <t>Anexa 13- Planul de dezvoltare parcuri industriale-.docx</t>
        </is>
      </c>
      <c r="D419" s="2" t="inlineStr">
        <is>
          <t>.docx</t>
        </is>
      </c>
      <c r="E419" s="2" t="n">
        <v>937091</v>
      </c>
      <c r="F419" s="2" t="inlineStr">
        <is>
          <t>2026-06-25T14:35:05</t>
        </is>
      </c>
      <c r="G419" s="2" t="inlineStr">
        <is>
          <t>text Word integral</t>
        </is>
      </c>
      <c r="H419" s="2" t="inlineStr"/>
    </row>
    <row r="420">
      <c r="A420" s="2" t="inlineStr">
        <is>
          <t>\\192.168.100.169\Comun\00. Proiecte 2026</t>
        </is>
      </c>
      <c r="B420" s="2" t="inlineStr">
        <is>
          <t>\\192.168.100.169\Comun\00. Proiecte 2026\2026.10.20 - Administrator parc UAT IMM INDIRECT 1.5.2 Parcuri industriale în domenii RIS\1. DOCUMENTE OFICIALE\ANEXE\Anexa 14- Macheta  financiară_152_Parcuri_Industriale.xlsx</t>
        </is>
      </c>
      <c r="C420" s="2" t="inlineStr">
        <is>
          <t>Anexa 14- Macheta  financiară_152_Parcuri_Industriale.xlsx</t>
        </is>
      </c>
      <c r="D420" s="2" t="inlineStr">
        <is>
          <t>.xlsx</t>
        </is>
      </c>
      <c r="E420" s="2" t="n">
        <v>145249</v>
      </c>
      <c r="F420" s="2" t="inlineStr">
        <is>
          <t>2026-06-25T14:35:06</t>
        </is>
      </c>
      <c r="G420" s="2" t="inlineStr">
        <is>
          <t>valori Excel; fără obiecte încorporate</t>
        </is>
      </c>
      <c r="H420" s="2" t="inlineStr"/>
    </row>
    <row r="421">
      <c r="A421" s="2" t="inlineStr">
        <is>
          <t>\\192.168.100.169\Comun\00. Proiecte 2026</t>
        </is>
      </c>
      <c r="B421" s="2" t="inlineStr">
        <is>
          <t>\\192.168.100.169\Comun\00. Proiecte 2026\2026.10.20 - Administrator parc UAT IMM INDIRECT 1.5.2 Parcuri industriale în domenii RIS\1. DOCUMENTE OFICIALE\ANEXE\Anexa 14.1 - Checklist verificare a analizei financiare.docx</t>
        </is>
      </c>
      <c r="C421" s="2" t="inlineStr">
        <is>
          <t>Anexa 14.1 - Checklist verificare a analizei financiare.docx</t>
        </is>
      </c>
      <c r="D421" s="2" t="inlineStr">
        <is>
          <t>.docx</t>
        </is>
      </c>
      <c r="E421" s="2" t="n">
        <v>923227</v>
      </c>
      <c r="F421" s="2" t="inlineStr">
        <is>
          <t>2026-06-25T14:35:06</t>
        </is>
      </c>
      <c r="G421" s="2" t="inlineStr">
        <is>
          <t>text Word integral</t>
        </is>
      </c>
      <c r="H421" s="2" t="inlineStr"/>
    </row>
    <row r="422">
      <c r="A422" s="2" t="inlineStr">
        <is>
          <t>\\192.168.100.169\Comun\00. Proiecte 2026</t>
        </is>
      </c>
      <c r="B422" s="2" t="inlineStr">
        <is>
          <t>\\192.168.100.169\Comun\00. Proiecte 2026\2026.10.20 - Administrator parc UAT IMM INDIRECT 1.5.2 Parcuri industriale în domenii RIS\1. DOCUMENTE OFICIALE\ANEXE\Anexa 15- Planul de monitorizare.docx</t>
        </is>
      </c>
      <c r="C422" s="2" t="inlineStr">
        <is>
          <t>Anexa 15- Planul de monitorizare.docx</t>
        </is>
      </c>
      <c r="D422" s="2" t="inlineStr">
        <is>
          <t>.docx</t>
        </is>
      </c>
      <c r="E422" s="2" t="n">
        <v>842459</v>
      </c>
      <c r="F422" s="2" t="inlineStr">
        <is>
          <t>2026-06-25T14:35:07</t>
        </is>
      </c>
      <c r="G422" s="2" t="inlineStr">
        <is>
          <t>text Word integral</t>
        </is>
      </c>
      <c r="H422" s="2" t="inlineStr"/>
    </row>
    <row r="423">
      <c r="A423" s="2" t="inlineStr">
        <is>
          <t>\\192.168.100.169\Comun\00. Proiecte 2026</t>
        </is>
      </c>
      <c r="B423" s="2" t="inlineStr">
        <is>
          <t>\\192.168.100.169\Comun\00. Proiecte 2026\2026.10.20 - Administrator parc UAT IMM INDIRECT 1.5.2 Parcuri industriale în domenii RIS\1. DOCUMENTE OFICIALE\ANEXE\Anexa 16-  Contract de finanțare - condiții generale și specifice.docx</t>
        </is>
      </c>
      <c r="C423" s="2" t="inlineStr">
        <is>
          <t>Anexa 16-  Contract de finanțare - condiții generale și specifice.docx</t>
        </is>
      </c>
      <c r="D423" s="2" t="inlineStr">
        <is>
          <t>.docx</t>
        </is>
      </c>
      <c r="E423" s="2" t="n">
        <v>983801</v>
      </c>
      <c r="F423" s="2" t="inlineStr">
        <is>
          <t>2026-06-25T14:35:07</t>
        </is>
      </c>
      <c r="G423" s="2" t="inlineStr">
        <is>
          <t>text Word integral</t>
        </is>
      </c>
      <c r="H423" s="2" t="inlineStr"/>
    </row>
    <row r="424">
      <c r="A424" s="2" t="inlineStr">
        <is>
          <t>\\192.168.100.169\Comun\00. Proiecte 2026</t>
        </is>
      </c>
      <c r="B424" s="2" t="inlineStr">
        <is>
          <t>\\192.168.100.169\Comun\00. Proiecte 2026\2026.10.20 - Administrator parc UAT IMM INDIRECT 1.5.2 Parcuri industriale în domenii RIS\1. DOCUMENTE OFICIALE\ANEXE\Anexa 2- Declarația unică.docx</t>
        </is>
      </c>
      <c r="C424" s="2" t="inlineStr">
        <is>
          <t>Anexa 2- Declarația unică.docx</t>
        </is>
      </c>
      <c r="D424" s="2" t="inlineStr">
        <is>
          <t>.docx</t>
        </is>
      </c>
      <c r="E424" s="2" t="n">
        <v>920217</v>
      </c>
      <c r="F424" s="2" t="inlineStr">
        <is>
          <t>2026-06-25T14:35:09</t>
        </is>
      </c>
      <c r="G424" s="2" t="inlineStr">
        <is>
          <t>text Word integral</t>
        </is>
      </c>
      <c r="H424" s="2" t="inlineStr"/>
    </row>
    <row r="425">
      <c r="A425" s="2" t="inlineStr">
        <is>
          <t>\\192.168.100.169\Comun\00. Proiecte 2026</t>
        </is>
      </c>
      <c r="B425" s="2" t="inlineStr">
        <is>
          <t>\\192.168.100.169\Comun\00. Proiecte 2026\2026.10.20 - Administrator parc UAT IMM INDIRECT 1.5.2 Parcuri industriale în domenii RIS\1. DOCUMENTE OFICIALE\ANEXE\Anexa 3- Grila evaluare tehnică și financiară.docx</t>
        </is>
      </c>
      <c r="C425" s="2" t="inlineStr">
        <is>
          <t>Anexa 3- Grila evaluare tehnică și financiară.docx</t>
        </is>
      </c>
      <c r="D425" s="2" t="inlineStr">
        <is>
          <t>.docx</t>
        </is>
      </c>
      <c r="E425" s="2" t="n">
        <v>858748</v>
      </c>
      <c r="F425" s="2" t="inlineStr">
        <is>
          <t>2026-06-25T14:35:09</t>
        </is>
      </c>
      <c r="G425" s="2" t="inlineStr">
        <is>
          <t>text Word integral</t>
        </is>
      </c>
      <c r="H425" s="2" t="inlineStr"/>
    </row>
    <row r="426">
      <c r="A426" s="2" t="inlineStr">
        <is>
          <t>\\192.168.100.169\Comun\00. Proiecte 2026</t>
        </is>
      </c>
      <c r="B426" s="2" t="inlineStr">
        <is>
          <t>\\192.168.100.169\Comun\00. Proiecte 2026\2026.10.20 - Administrator parc UAT IMM INDIRECT 1.5.2 Parcuri industriale în domenii RIS\1. DOCUMENTE OFICIALE\ANEXE\Anexa 4- Grila de verificare eligibilitate și contractare.docx</t>
        </is>
      </c>
      <c r="C426" s="2" t="inlineStr">
        <is>
          <t>Anexa 4- Grila de verificare eligibilitate și contractare.docx</t>
        </is>
      </c>
      <c r="D426" s="2" t="inlineStr">
        <is>
          <t>.docx</t>
        </is>
      </c>
      <c r="E426" s="2" t="n">
        <v>865404</v>
      </c>
      <c r="F426" s="2" t="inlineStr">
        <is>
          <t>2026-06-25T14:35:10</t>
        </is>
      </c>
      <c r="G426" s="2" t="inlineStr">
        <is>
          <t>text Word integral</t>
        </is>
      </c>
      <c r="H426" s="2" t="inlineStr"/>
    </row>
    <row r="427">
      <c r="A427" s="2" t="inlineStr">
        <is>
          <t>\\192.168.100.169\Comun\00. Proiecte 2026</t>
        </is>
      </c>
      <c r="B427" s="2" t="inlineStr">
        <is>
          <t>\\192.168.100.169\Comun\00. Proiecte 2026\2026.10.20 - Administrator parc UAT IMM INDIRECT 1.5.2 Parcuri industriale în domenii RIS\1. DOCUMENTE OFICIALE\ANEXE\Anexa 5- Model orientativ Hotărâre de aprobare a proiectului.docx</t>
        </is>
      </c>
      <c r="C427" s="2" t="inlineStr">
        <is>
          <t>Anexa 5- Model orientativ Hotărâre de aprobare a proiectului.docx</t>
        </is>
      </c>
      <c r="D427" s="2" t="inlineStr">
        <is>
          <t>.docx</t>
        </is>
      </c>
      <c r="E427" s="2" t="n">
        <v>902684</v>
      </c>
      <c r="F427" s="2" t="inlineStr">
        <is>
          <t>2026-06-25T14:35:10</t>
        </is>
      </c>
      <c r="G427" s="2" t="inlineStr">
        <is>
          <t>text Word integral</t>
        </is>
      </c>
      <c r="H427" s="2" t="inlineStr"/>
    </row>
    <row r="428">
      <c r="A428" s="2" t="inlineStr">
        <is>
          <t>\\192.168.100.169\Comun\00. Proiecte 2026</t>
        </is>
      </c>
      <c r="B428" s="2" t="inlineStr">
        <is>
          <t>\\192.168.100.169\Comun\00. Proiecte 2026\2026.10.20 - Administrator parc UAT IMM INDIRECT 1.5.2 Parcuri industriale în domenii RIS\1. DOCUMENTE OFICIALE\ANEXE\Anexa 6- Acord de parteneriat (model orientativ).docx</t>
        </is>
      </c>
      <c r="C428" s="2" t="inlineStr">
        <is>
          <t>Anexa 6- Acord de parteneriat (model orientativ).docx</t>
        </is>
      </c>
      <c r="D428" s="2" t="inlineStr">
        <is>
          <t>.docx</t>
        </is>
      </c>
      <c r="E428" s="2" t="n">
        <v>913931</v>
      </c>
      <c r="F428" s="2" t="inlineStr">
        <is>
          <t>2026-06-25T14:35:11</t>
        </is>
      </c>
      <c r="G428" s="2" t="inlineStr">
        <is>
          <t>text Word integral</t>
        </is>
      </c>
      <c r="H428" s="2" t="inlineStr"/>
    </row>
    <row r="429">
      <c r="A429" s="2" t="inlineStr">
        <is>
          <t>\\192.168.100.169\Comun\00. Proiecte 2026</t>
        </is>
      </c>
      <c r="B429" s="2" t="inlineStr">
        <is>
          <t>\\192.168.100.169\Comun\00. Proiecte 2026\2026.10.20 - Administrator parc UAT IMM INDIRECT 1.5.2 Parcuri industriale în domenii RIS\1. DOCUMENTE OFICIALE\ANEXE\Anexa 7- Declarație privind eligibilitatea TVA.docx</t>
        </is>
      </c>
      <c r="C429" s="2" t="inlineStr">
        <is>
          <t>Anexa 7- Declarație privind eligibilitatea TVA.docx</t>
        </is>
      </c>
      <c r="D429" s="2" t="inlineStr">
        <is>
          <t>.docx</t>
        </is>
      </c>
      <c r="E429" s="2" t="n">
        <v>912995</v>
      </c>
      <c r="F429" s="2" t="inlineStr">
        <is>
          <t>2026-06-25T14:35:11</t>
        </is>
      </c>
      <c r="G429" s="2" t="inlineStr">
        <is>
          <t>text Word integral</t>
        </is>
      </c>
      <c r="H429" s="2" t="inlineStr"/>
    </row>
    <row r="430">
      <c r="A430" s="2" t="inlineStr">
        <is>
          <t>\\192.168.100.169\Comun\00. Proiecte 2026</t>
        </is>
      </c>
      <c r="B430" s="2" t="inlineStr">
        <is>
          <t>\\192.168.100.169\Comun\00. Proiecte 2026\2026.10.20 - Administrator parc UAT IMM INDIRECT 1.5.2 Parcuri industriale în domenii RIS\1. DOCUMENTE OFICIALE\ANEXE\Anexa 8- Declarație privind conformitatea documentelor din MySMIS.docx</t>
        </is>
      </c>
      <c r="C430" s="2" t="inlineStr">
        <is>
          <t>Anexa 8- Declarație privind conformitatea documentelor din MySMIS.docx</t>
        </is>
      </c>
      <c r="D430" s="2" t="inlineStr">
        <is>
          <t>.docx</t>
        </is>
      </c>
      <c r="E430" s="2" t="n">
        <v>900040</v>
      </c>
      <c r="F430" s="2" t="inlineStr">
        <is>
          <t>2026-06-25T14:35:03</t>
        </is>
      </c>
      <c r="G430" s="2" t="inlineStr">
        <is>
          <t>text Word integral</t>
        </is>
      </c>
      <c r="H430" s="2" t="inlineStr"/>
    </row>
    <row r="431">
      <c r="A431" s="2" t="inlineStr">
        <is>
          <t>\\192.168.100.169\Comun\00. Proiecte 2026</t>
        </is>
      </c>
      <c r="B431" s="2" t="inlineStr">
        <is>
          <t>\\192.168.100.169\Comun\00. Proiecte 2026\2026.10.20 - Administrator parc UAT IMM INDIRECT 1.5.2 Parcuri industriale în domenii RIS\1. DOCUMENTE OFICIALE\ANEXE\Anexa 9- Declarație privind ajutoarele de stat și minimis primite.docx</t>
        </is>
      </c>
      <c r="C431" s="2" t="inlineStr">
        <is>
          <t>Anexa 9- Declarație privind ajutoarele de stat și minimis primite.docx</t>
        </is>
      </c>
      <c r="D431" s="2" t="inlineStr">
        <is>
          <t>.docx</t>
        </is>
      </c>
      <c r="E431" s="2" t="n">
        <v>914699</v>
      </c>
      <c r="F431" s="2" t="inlineStr">
        <is>
          <t>2026-06-25T14:35:04</t>
        </is>
      </c>
      <c r="G431" s="2" t="inlineStr">
        <is>
          <t>text Word integral</t>
        </is>
      </c>
      <c r="H431" s="2" t="inlineStr"/>
    </row>
    <row r="432">
      <c r="A432" s="2" t="inlineStr">
        <is>
          <t>\\192.168.100.169\Comun\00. Proiecte 2026</t>
        </is>
      </c>
      <c r="B432" s="2" t="inlineStr">
        <is>
          <t>\\192.168.100.169\Comun\00. Proiecte 2026\2026.11.06 - clustere inm membre - P1-1.2.2 - CLUSTERE INOVATIVE\CONDIȚII DE ELIGIBILITATE.docx</t>
        </is>
      </c>
      <c r="C432" s="2" t="inlineStr">
        <is>
          <t>CONDIȚII DE ELIGIBILITATE.docx</t>
        </is>
      </c>
      <c r="D432" s="2" t="inlineStr">
        <is>
          <t>.docx</t>
        </is>
      </c>
      <c r="E432" s="2" t="n">
        <v>24455</v>
      </c>
      <c r="F432" s="2" t="inlineStr">
        <is>
          <t>2026-06-26T14:39:12</t>
        </is>
      </c>
      <c r="G432" s="2" t="inlineStr">
        <is>
          <t>text Word integral</t>
        </is>
      </c>
      <c r="H432" s="2" t="inlineStr"/>
    </row>
    <row r="433">
      <c r="A433" s="2" t="inlineStr">
        <is>
          <t>\\192.168.100.169\Comun\00. Proiecte 2026</t>
        </is>
      </c>
      <c r="B433" s="2" t="inlineStr">
        <is>
          <t>\\192.168.100.169\Comun\00. Proiecte 2026\2026.11.06 - clustere inm membre - P1-1.2.2 - CLUSTERE INOVATIVE\1.DOCUMENTE OFICIALE\Decizie-nr.-148.pdf</t>
        </is>
      </c>
      <c r="C433" s="2" t="inlineStr">
        <is>
          <t>Decizie-nr.-148.pdf</t>
        </is>
      </c>
      <c r="D433" s="2" t="inlineStr">
        <is>
          <t>.pdf</t>
        </is>
      </c>
      <c r="E433" s="2" t="n">
        <v>1664438</v>
      </c>
      <c r="F433" s="2" t="inlineStr">
        <is>
          <t>2026-06-25T14:10:13</t>
        </is>
      </c>
      <c r="G433" s="2" t="inlineStr">
        <is>
          <t>PDF fără text extractibil; OCR necesar</t>
        </is>
      </c>
      <c r="H433" s="2" t="inlineStr"/>
    </row>
    <row r="434">
      <c r="A434" s="2" t="inlineStr">
        <is>
          <t>\\192.168.100.169\Comun\00. Proiecte 2026</t>
        </is>
      </c>
      <c r="B434" s="2" t="inlineStr">
        <is>
          <t>\\192.168.100.169\Comun\00. Proiecte 2026\2026.11.06 - clustere inm membre - P1-1.2.2 - CLUSTERE INOVATIVE\1.DOCUMENTE OFICIALE\Ghidul-solicitantului-Corrigendum-1-Interventia-1.2.1.pdf</t>
        </is>
      </c>
      <c r="C434" s="2" t="inlineStr">
        <is>
          <t>Ghidul-solicitantului-Corrigendum-1-Interventia-1.2.1.pdf</t>
        </is>
      </c>
      <c r="D434" s="2" t="inlineStr">
        <is>
          <t>.pdf</t>
        </is>
      </c>
      <c r="E434" s="2" t="n">
        <v>2095096</v>
      </c>
      <c r="F434" s="2" t="inlineStr">
        <is>
          <t>2026-06-25T14:09:39</t>
        </is>
      </c>
      <c r="G434" s="2" t="inlineStr">
        <is>
          <t>text PDF integral</t>
        </is>
      </c>
      <c r="H434" s="2" t="inlineStr"/>
    </row>
    <row r="435">
      <c r="A435" s="2" t="inlineStr">
        <is>
          <t>\\192.168.100.169\Comun\00. Proiecte 2026</t>
        </is>
      </c>
      <c r="B435" s="2" t="inlineStr">
        <is>
          <t>\\192.168.100.169\Comun\00. Proiecte 2026\2026.11.06 - clustere inm membre - P1-1.2.2 - CLUSTERE INOVATIVE\1.DOCUMENTE OFICIALE\ANEXE\Anexa 1 - Instructiuni de completare  CF 121.docx</t>
        </is>
      </c>
      <c r="C435" s="2" t="inlineStr">
        <is>
          <t>Anexa 1 - Instructiuni de completare  CF 121.docx</t>
        </is>
      </c>
      <c r="D435" s="2" t="inlineStr">
        <is>
          <t>.docx</t>
        </is>
      </c>
      <c r="E435" s="2" t="n">
        <v>6808140</v>
      </c>
      <c r="F435" s="2" t="inlineStr">
        <is>
          <t>2026-06-25T14:19:27</t>
        </is>
      </c>
      <c r="G435" s="2" t="inlineStr">
        <is>
          <t>text Word integral</t>
        </is>
      </c>
      <c r="H435" s="2" t="inlineStr"/>
    </row>
    <row r="436">
      <c r="A436" s="2" t="inlineStr">
        <is>
          <t>\\192.168.100.169\Comun\00. Proiecte 2026</t>
        </is>
      </c>
      <c r="B436" s="2" t="inlineStr">
        <is>
          <t>\\192.168.100.169\Comun\00. Proiecte 2026\2026.11.06 - clustere inm membre - P1-1.2.2 - CLUSTERE INOVATIVE\1.DOCUMENTE OFICIALE\ANEXE\Anexa 10 - Declarație privind ajutoarele de stat și minimis primite- 121.docx</t>
        </is>
      </c>
      <c r="C436" s="2" t="inlineStr">
        <is>
          <t>Anexa 10 - Declarație privind ajutoarele de stat și minimis primite- 121.docx</t>
        </is>
      </c>
      <c r="D436" s="2" t="inlineStr">
        <is>
          <t>.docx</t>
        </is>
      </c>
      <c r="E436" s="2" t="n">
        <v>915093</v>
      </c>
      <c r="F436" s="2" t="inlineStr">
        <is>
          <t>2026-06-25T14:19:32</t>
        </is>
      </c>
      <c r="G436" s="2" t="inlineStr">
        <is>
          <t>text Word integral</t>
        </is>
      </c>
      <c r="H436" s="2" t="inlineStr"/>
    </row>
    <row r="437">
      <c r="A437" s="2" t="inlineStr">
        <is>
          <t>\\192.168.100.169\Comun\00. Proiecte 2026</t>
        </is>
      </c>
      <c r="B437" s="2" t="inlineStr">
        <is>
          <t>\\192.168.100.169\Comun\00. Proiecte 2026\2026.11.06 - clustere inm membre - P1-1.2.2 - CLUSTERE INOVATIVE\1.DOCUMENTE OFICIALE\ANEXE\Anexa 11 - Model hotărâre AGA.docx</t>
        </is>
      </c>
      <c r="C437" s="2" t="inlineStr">
        <is>
          <t>Anexa 11 - Model hotărâre AGA.docx</t>
        </is>
      </c>
      <c r="D437" s="2" t="inlineStr">
        <is>
          <t>.docx</t>
        </is>
      </c>
      <c r="E437" s="2" t="n">
        <v>909766</v>
      </c>
      <c r="F437" s="2" t="inlineStr">
        <is>
          <t>2026-06-25T14:19:33</t>
        </is>
      </c>
      <c r="G437" s="2" t="inlineStr">
        <is>
          <t>text Word integral</t>
        </is>
      </c>
      <c r="H437" s="2" t="inlineStr"/>
    </row>
    <row r="438">
      <c r="A438" s="2" t="inlineStr">
        <is>
          <t>\\192.168.100.169\Comun\00. Proiecte 2026</t>
        </is>
      </c>
      <c r="B438" s="2" t="inlineStr">
        <is>
          <t>\\192.168.100.169\Comun\00. Proiecte 2026\2026.11.06 - clustere inm membre - P1-1.2.2 - CLUSTERE INOVATIVE\1.DOCUMENTE OFICIALE\ANEXE\Anexa 12 - Planul de monitorizare.docx</t>
        </is>
      </c>
      <c r="C438" s="2" t="inlineStr">
        <is>
          <t>Anexa 12 - Planul de monitorizare.docx</t>
        </is>
      </c>
      <c r="D438" s="2" t="inlineStr">
        <is>
          <t>.docx</t>
        </is>
      </c>
      <c r="E438" s="2" t="n">
        <v>838748</v>
      </c>
      <c r="F438" s="2" t="inlineStr">
        <is>
          <t>2026-06-25T14:19:33</t>
        </is>
      </c>
      <c r="G438" s="2" t="inlineStr">
        <is>
          <t>text Word integral</t>
        </is>
      </c>
      <c r="H438" s="2" t="inlineStr"/>
    </row>
    <row r="439">
      <c r="A439" s="2" t="inlineStr">
        <is>
          <t>\\192.168.100.169\Comun\00. Proiecte 2026</t>
        </is>
      </c>
      <c r="B439" s="2" t="inlineStr">
        <is>
          <t>\\192.168.100.169\Comun\00. Proiecte 2026\2026.11.06 - clustere inm membre - P1-1.2.2 - CLUSTERE INOVATIVE\1.DOCUMENTE OFICIALE\ANEXE\Anexa 13- Contract de finantare_conditii generale si specifice-121.docx</t>
        </is>
      </c>
      <c r="C439" s="2" t="inlineStr">
        <is>
          <t>Anexa 13- Contract de finantare_conditii generale si specifice-121.docx</t>
        </is>
      </c>
      <c r="D439" s="2" t="inlineStr">
        <is>
          <t>.docx</t>
        </is>
      </c>
      <c r="E439" s="2" t="n">
        <v>970400</v>
      </c>
      <c r="F439" s="2" t="inlineStr">
        <is>
          <t>2026-06-25T14:19:33</t>
        </is>
      </c>
      <c r="G439" s="2" t="inlineStr">
        <is>
          <t>text Word integral</t>
        </is>
      </c>
      <c r="H439" s="2" t="inlineStr"/>
    </row>
    <row r="440">
      <c r="A440" s="2" t="inlineStr">
        <is>
          <t>\\192.168.100.169\Comun\00. Proiecte 2026</t>
        </is>
      </c>
      <c r="B440" s="2" t="inlineStr">
        <is>
          <t>\\192.168.100.169\Comun\00. Proiecte 2026\2026.11.06 - clustere inm membre - P1-1.2.2 - CLUSTERE INOVATIVE\1.DOCUMENTE OFICIALE\ANEXE\Anexa 14-Calendarul implementării proiectului.docx</t>
        </is>
      </c>
      <c r="C440" s="2" t="inlineStr">
        <is>
          <t>Anexa 14-Calendarul implementării proiectului.docx</t>
        </is>
      </c>
      <c r="D440" s="2" t="inlineStr">
        <is>
          <t>.docx</t>
        </is>
      </c>
      <c r="E440" s="2" t="n">
        <v>905527</v>
      </c>
      <c r="F440" s="2" t="inlineStr">
        <is>
          <t>2026-06-25T14:19:34</t>
        </is>
      </c>
      <c r="G440" s="2" t="inlineStr">
        <is>
          <t>text Word integral</t>
        </is>
      </c>
      <c r="H440" s="2" t="inlineStr"/>
    </row>
    <row r="441">
      <c r="A441" s="2" t="inlineStr">
        <is>
          <t>\\192.168.100.169\Comun\00. Proiecte 2026</t>
        </is>
      </c>
      <c r="B441" s="2" t="inlineStr">
        <is>
          <t>\\192.168.100.169\Comun\00. Proiecte 2026\2026.11.06 - clustere inm membre - P1-1.2.2 - CLUSTERE INOVATIVE\1.DOCUMENTE OFICIALE\ANEXE\Anexa 2 - Declaratie Unica.docx</t>
        </is>
      </c>
      <c r="C441" s="2" t="inlineStr">
        <is>
          <t>Anexa 2 - Declaratie Unica.docx</t>
        </is>
      </c>
      <c r="D441" s="2" t="inlineStr">
        <is>
          <t>.docx</t>
        </is>
      </c>
      <c r="E441" s="2" t="n">
        <v>918798</v>
      </c>
      <c r="F441" s="2" t="inlineStr">
        <is>
          <t>2026-06-25T14:19:28</t>
        </is>
      </c>
      <c r="G441" s="2" t="inlineStr">
        <is>
          <t>text Word integral</t>
        </is>
      </c>
      <c r="H441" s="2" t="inlineStr"/>
    </row>
    <row r="442">
      <c r="A442" s="2" t="inlineStr">
        <is>
          <t>\\192.168.100.169\Comun\00. Proiecte 2026</t>
        </is>
      </c>
      <c r="B442" s="2" t="inlineStr">
        <is>
          <t>\\192.168.100.169\Comun\00. Proiecte 2026\2026.11.06 - clustere inm membre - P1-1.2.2 - CLUSTERE INOVATIVE\1.DOCUMENTE OFICIALE\ANEXE\Anexa 3 - Grila ETF-121_v1.docx</t>
        </is>
      </c>
      <c r="C442" s="2" t="inlineStr">
        <is>
          <t>Anexa 3 - Grila ETF-121_v1.docx</t>
        </is>
      </c>
      <c r="D442" s="2" t="inlineStr">
        <is>
          <t>.docx</t>
        </is>
      </c>
      <c r="E442" s="2" t="n">
        <v>850027</v>
      </c>
      <c r="F442" s="2" t="inlineStr">
        <is>
          <t>2026-06-25T14:19:28</t>
        </is>
      </c>
      <c r="G442" s="2" t="inlineStr">
        <is>
          <t>text Word integral</t>
        </is>
      </c>
      <c r="H442" s="2" t="inlineStr"/>
    </row>
    <row r="443">
      <c r="A443" s="2" t="inlineStr">
        <is>
          <t>\\192.168.100.169\Comun\00. Proiecte 2026</t>
        </is>
      </c>
      <c r="B443" s="2" t="inlineStr">
        <is>
          <t>\\192.168.100.169\Comun\00. Proiecte 2026\2026.11.06 - clustere inm membre - P1-1.2.2 - CLUSTERE INOVATIVE\1.DOCUMENTE OFICIALE\ANEXE\Anexa 4- Grila verificare eligibilitate contractare.docx</t>
        </is>
      </c>
      <c r="C443" s="2" t="inlineStr">
        <is>
          <t>Anexa 4- Grila verificare eligibilitate contractare.docx</t>
        </is>
      </c>
      <c r="D443" s="2" t="inlineStr">
        <is>
          <t>.docx</t>
        </is>
      </c>
      <c r="E443" s="2" t="n">
        <v>708555</v>
      </c>
      <c r="F443" s="2" t="inlineStr">
        <is>
          <t>2026-06-25T14:19:29</t>
        </is>
      </c>
      <c r="G443" s="2" t="inlineStr">
        <is>
          <t>text Word integral</t>
        </is>
      </c>
      <c r="H443" s="2" t="inlineStr"/>
    </row>
    <row r="444">
      <c r="A444" s="2" t="inlineStr">
        <is>
          <t>\\192.168.100.169\Comun\00. Proiecte 2026</t>
        </is>
      </c>
      <c r="B444" s="2" t="inlineStr">
        <is>
          <t>\\192.168.100.169\Comun\00. Proiecte 2026\2026.11.06 - clustere inm membre - P1-1.2.2 - CLUSTERE INOVATIVE\1.DOCUMENTE OFICIALE\ANEXE\Anexa 5- Plan de implementare.docx</t>
        </is>
      </c>
      <c r="C444" s="2" t="inlineStr">
        <is>
          <t>Anexa 5- Plan de implementare.docx</t>
        </is>
      </c>
      <c r="D444" s="2" t="inlineStr">
        <is>
          <t>.docx</t>
        </is>
      </c>
      <c r="E444" s="2" t="n">
        <v>916681</v>
      </c>
      <c r="F444" s="2" t="inlineStr">
        <is>
          <t>2026-06-25T14:19:29</t>
        </is>
      </c>
      <c r="G444" s="2" t="inlineStr">
        <is>
          <t>text Word integral</t>
        </is>
      </c>
      <c r="H444" s="2" t="inlineStr"/>
    </row>
    <row r="445">
      <c r="A445" s="2" t="inlineStr">
        <is>
          <t>\\192.168.100.169\Comun\00. Proiecte 2026</t>
        </is>
      </c>
      <c r="B445" s="2" t="inlineStr">
        <is>
          <t>\\192.168.100.169\Comun\00. Proiecte 2026\2026.11.06 - clustere inm membre - P1-1.2.2 - CLUSTERE INOVATIVE\1.DOCUMENTE OFICIALE\ANEXE\Anexa 6- Macheta financiară1.2.1.xlsx</t>
        </is>
      </c>
      <c r="C445" s="2" t="inlineStr">
        <is>
          <t>Anexa 6- Macheta financiară1.2.1.xlsx</t>
        </is>
      </c>
      <c r="D445" s="2" t="inlineStr">
        <is>
          <t>.xlsx</t>
        </is>
      </c>
      <c r="E445" s="2" t="n">
        <v>136978</v>
      </c>
      <c r="F445" s="2" t="inlineStr">
        <is>
          <t>2026-06-25T14:19:29</t>
        </is>
      </c>
      <c r="G445" s="2" t="inlineStr">
        <is>
          <t>valori Excel; fără obiecte încorporate</t>
        </is>
      </c>
      <c r="H445" s="2" t="inlineStr"/>
    </row>
    <row r="446">
      <c r="A446" s="2" t="inlineStr">
        <is>
          <t>\\192.168.100.169\Comun\00. Proiecte 2026</t>
        </is>
      </c>
      <c r="B446" s="2" t="inlineStr">
        <is>
          <t>\\192.168.100.169\Comun\00. Proiecte 2026\2026.11.06 - clustere inm membre - P1-1.2.2 - CLUSTERE INOVATIVE\1.DOCUMENTE OFICIALE\ANEXE\Anexa 7- Declaraţie privind încadrarea întreprinderii în categoria IMM- 121.docx</t>
        </is>
      </c>
      <c r="C446" s="2" t="inlineStr">
        <is>
          <t>Anexa 7- Declaraţie privind încadrarea întreprinderii în categoria IMM- 121.docx</t>
        </is>
      </c>
      <c r="D446" s="2" t="inlineStr">
        <is>
          <t>.docx</t>
        </is>
      </c>
      <c r="E446" s="2" t="n">
        <v>917220</v>
      </c>
      <c r="F446" s="2" t="inlineStr">
        <is>
          <t>2026-06-25T14:19:30</t>
        </is>
      </c>
      <c r="G446" s="2" t="inlineStr">
        <is>
          <t>text Word integral</t>
        </is>
      </c>
      <c r="H446" s="2" t="inlineStr"/>
    </row>
    <row r="447">
      <c r="A447" s="2" t="inlineStr">
        <is>
          <t>\\192.168.100.169\Comun\00. Proiecte 2026</t>
        </is>
      </c>
      <c r="B447" s="2" t="inlineStr">
        <is>
          <t>\\192.168.100.169\Comun\00. Proiecte 2026\2026.11.06 - clustere inm membre - P1-1.2.2 - CLUSTERE INOVATIVE\1.DOCUMENTE OFICIALE\ANEXE\Anexa 7a- Incadrarea in categoriile IMM- 121.docx</t>
        </is>
      </c>
      <c r="C447" s="2" t="inlineStr">
        <is>
          <t>Anexa 7a- Incadrarea in categoriile IMM- 121.docx</t>
        </is>
      </c>
      <c r="D447" s="2" t="inlineStr">
        <is>
          <t>.docx</t>
        </is>
      </c>
      <c r="E447" s="2" t="n">
        <v>1143453</v>
      </c>
      <c r="F447" s="2" t="inlineStr">
        <is>
          <t>2026-06-25T14:19:30</t>
        </is>
      </c>
      <c r="G447" s="2" t="inlineStr">
        <is>
          <t>text Word integral</t>
        </is>
      </c>
      <c r="H447" s="2" t="inlineStr"/>
    </row>
    <row r="448">
      <c r="A448" s="2" t="inlineStr">
        <is>
          <t>\\192.168.100.169\Comun\00. Proiecte 2026</t>
        </is>
      </c>
      <c r="B448" s="2" t="inlineStr">
        <is>
          <t>\\192.168.100.169\Comun\00. Proiecte 2026\2026.11.06 - clustere inm membre - P1-1.2.2 - CLUSTERE INOVATIVE\1.DOCUMENTE OFICIALE\ANEXE\Anexa 8- Declaratie privind eligibilitatea TVA.docx</t>
        </is>
      </c>
      <c r="C448" s="2" t="inlineStr">
        <is>
          <t>Anexa 8- Declaratie privind eligibilitatea TVA.docx</t>
        </is>
      </c>
      <c r="D448" s="2" t="inlineStr">
        <is>
          <t>.docx</t>
        </is>
      </c>
      <c r="E448" s="2" t="n">
        <v>913628</v>
      </c>
      <c r="F448" s="2" t="inlineStr">
        <is>
          <t>2026-06-25T14:19:31</t>
        </is>
      </c>
      <c r="G448" s="2" t="inlineStr">
        <is>
          <t>text Word integral</t>
        </is>
      </c>
      <c r="H448" s="2" t="inlineStr"/>
    </row>
    <row r="449">
      <c r="A449" s="2" t="inlineStr">
        <is>
          <t>\\192.168.100.169\Comun\00. Proiecte 2026</t>
        </is>
      </c>
      <c r="B449" s="2" t="inlineStr">
        <is>
          <t>\\192.168.100.169\Comun\00. Proiecte 2026\2026.11.06 - clustere inm membre - P1-1.2.2 - CLUSTERE INOVATIVE\1.DOCUMENTE OFICIALE\ANEXE\Anexa 9 - Declarație conformitate documente încărcate în MySMIS-121.docx</t>
        </is>
      </c>
      <c r="C449" s="2" t="inlineStr">
        <is>
          <t>Anexa 9 - Declarație conformitate documente încărcate în MySMIS-121.docx</t>
        </is>
      </c>
      <c r="D449" s="2" t="inlineStr">
        <is>
          <t>.docx</t>
        </is>
      </c>
      <c r="E449" s="2" t="n">
        <v>899615</v>
      </c>
      <c r="F449" s="2" t="inlineStr">
        <is>
          <t>2026-06-25T14:19:31</t>
        </is>
      </c>
      <c r="G449" s="2" t="inlineStr">
        <is>
          <t>text Word integral</t>
        </is>
      </c>
      <c r="H449" s="2" t="inlineStr"/>
    </row>
    <row r="450">
      <c r="A450" s="2" t="inlineStr">
        <is>
          <t>\\192.168.100.169\Comun\00. Proiecte 2026</t>
        </is>
      </c>
      <c r="B450" s="2" t="inlineStr">
        <is>
          <t>\\192.168.100.169\Comun\00. Proiecte 2026\2026.12.30 - PoCIDIF – Acțiunea 2.4, EDIH Apel 2\CONDIȚII DE ELIGIBILITATE.docx</t>
        </is>
      </c>
      <c r="C450" s="2" t="inlineStr">
        <is>
          <t>CONDIȚII DE ELIGIBILITATE.docx</t>
        </is>
      </c>
      <c r="D450" s="2" t="inlineStr">
        <is>
          <t>.docx</t>
        </is>
      </c>
      <c r="E450" s="2" t="n">
        <v>23979</v>
      </c>
      <c r="F450" s="2" t="inlineStr">
        <is>
          <t>2026-06-26T14:38:57</t>
        </is>
      </c>
      <c r="G450" s="2" t="inlineStr">
        <is>
          <t>text Word integral</t>
        </is>
      </c>
      <c r="H450" s="2" t="inlineStr"/>
    </row>
    <row r="451">
      <c r="A451" s="2" t="inlineStr">
        <is>
          <t>\\192.168.100.169\Comun\00. Proiecte 2026</t>
        </is>
      </c>
      <c r="B451" s="2" t="inlineStr">
        <is>
          <t>\\192.168.100.169\Comun\00. Proiecte 2026\2026.12.30 - PoCIDIF – Acțiunea 2.4, EDIH Apel 2\1.DOCUMENTE OFICIALE\3e2f3975b720f4080005e171799443e2.pdf</t>
        </is>
      </c>
      <c r="C451" s="2" t="inlineStr">
        <is>
          <t>3e2f3975b720f4080005e171799443e2.pdf</t>
        </is>
      </c>
      <c r="D451" s="2" t="inlineStr">
        <is>
          <t>.pdf</t>
        </is>
      </c>
      <c r="E451" s="2" t="n">
        <v>152016</v>
      </c>
      <c r="F451" s="2" t="inlineStr">
        <is>
          <t>2026-06-25T15:25:11</t>
        </is>
      </c>
      <c r="G451" s="2" t="inlineStr">
        <is>
          <t>text PDF integral</t>
        </is>
      </c>
      <c r="H451" s="2" t="inlineStr"/>
    </row>
    <row r="452">
      <c r="A452" s="2" t="inlineStr">
        <is>
          <t>\\192.168.100.169\Comun\00. Proiecte 2026</t>
        </is>
      </c>
      <c r="B452" s="2" t="inlineStr">
        <is>
          <t>\\192.168.100.169\Comun\00. Proiecte 2026\2026.12.30 - PoCIDIF – Acțiunea 2.4, EDIH Apel 2\1.DOCUMENTE OFICIALE\ANEXA 1 - CERERE DE FINANTARE.docx</t>
        </is>
      </c>
      <c r="C452" s="2" t="inlineStr">
        <is>
          <t>ANEXA 1 - CERERE DE FINANTARE.docx</t>
        </is>
      </c>
      <c r="D452" s="2" t="inlineStr">
        <is>
          <t>.docx</t>
        </is>
      </c>
      <c r="E452" s="2" t="n">
        <v>22795</v>
      </c>
      <c r="F452" s="2" t="inlineStr">
        <is>
          <t>2026-06-25T15:25:38</t>
        </is>
      </c>
      <c r="G452" s="2" t="inlineStr">
        <is>
          <t>text Word integral</t>
        </is>
      </c>
      <c r="H452" s="2" t="inlineStr"/>
    </row>
    <row r="453">
      <c r="A453" s="2" t="inlineStr">
        <is>
          <t>\\192.168.100.169\Comun\00. Proiecte 2026</t>
        </is>
      </c>
      <c r="B453" s="2" t="inlineStr">
        <is>
          <t>\\192.168.100.169\Comun\00. Proiecte 2026\2026.12.30 - PoCIDIF – Acțiunea 2.4, EDIH Apel 2\1.DOCUMENTE OFICIALE\ANEXA 2 -  DECLARATIE UNICA.docx</t>
        </is>
      </c>
      <c r="C453" s="2" t="inlineStr">
        <is>
          <t>ANEXA 2 -  DECLARATIE UNICA.docx</t>
        </is>
      </c>
      <c r="D453" s="2" t="inlineStr">
        <is>
          <t>.docx</t>
        </is>
      </c>
      <c r="E453" s="2" t="n">
        <v>26767</v>
      </c>
      <c r="F453" s="2" t="inlineStr">
        <is>
          <t>2026-06-25T15:25:38</t>
        </is>
      </c>
      <c r="G453" s="2" t="inlineStr">
        <is>
          <t>text Word integral</t>
        </is>
      </c>
      <c r="H453" s="2" t="inlineStr"/>
    </row>
    <row r="454">
      <c r="A454" s="2" t="inlineStr">
        <is>
          <t>\\192.168.100.169\Comun\00. Proiecte 2026</t>
        </is>
      </c>
      <c r="B454" s="2" t="inlineStr">
        <is>
          <t>\\192.168.100.169\Comun\00. Proiecte 2026\2026.12.30 - PoCIDIF – Acțiunea 2.4, EDIH Apel 2\1.DOCUMENTE OFICIALE\ANEXA 3 - ACORD DE PARTENERIAT.docx</t>
        </is>
      </c>
      <c r="C454" s="2" t="inlineStr">
        <is>
          <t>ANEXA 3 - ACORD DE PARTENERIAT.docx</t>
        </is>
      </c>
      <c r="D454" s="2" t="inlineStr">
        <is>
          <t>.docx</t>
        </is>
      </c>
      <c r="E454" s="2" t="n">
        <v>32169</v>
      </c>
      <c r="F454" s="2" t="inlineStr">
        <is>
          <t>2026-06-25T15:25:38</t>
        </is>
      </c>
      <c r="G454" s="2" t="inlineStr">
        <is>
          <t>text Word integral</t>
        </is>
      </c>
      <c r="H454" s="2" t="inlineStr"/>
    </row>
    <row r="455">
      <c r="A455" s="2" t="inlineStr">
        <is>
          <t>\\192.168.100.169\Comun\00. Proiecte 2026</t>
        </is>
      </c>
      <c r="B455" s="2" t="inlineStr">
        <is>
          <t>\\192.168.100.169\Comun\00. Proiecte 2026\2026.12.30 - PoCIDIF – Acțiunea 2.4, EDIH Apel 2\1.DOCUMENTE OFICIALE\ANEXA 4 - PLAN DE MONITORIZARE.docx</t>
        </is>
      </c>
      <c r="C455" s="2" t="inlineStr">
        <is>
          <t>ANEXA 4 - PLAN DE MONITORIZARE.docx</t>
        </is>
      </c>
      <c r="D455" s="2" t="inlineStr">
        <is>
          <t>.docx</t>
        </is>
      </c>
      <c r="E455" s="2" t="n">
        <v>14766</v>
      </c>
      <c r="F455" s="2" t="inlineStr">
        <is>
          <t>2026-06-25T15:25:39</t>
        </is>
      </c>
      <c r="G455" s="2" t="inlineStr">
        <is>
          <t>text Word integral</t>
        </is>
      </c>
      <c r="H455" s="2" t="inlineStr"/>
    </row>
    <row r="456">
      <c r="A456" s="2" t="inlineStr">
        <is>
          <t>\\192.168.100.169\Comun\00. Proiecte 2026</t>
        </is>
      </c>
      <c r="B456" s="2" t="inlineStr">
        <is>
          <t>\\192.168.100.169\Comun\00. Proiecte 2026\2026.12.30 - PoCIDIF – Acțiunea 2.4, EDIH Apel 2\1.DOCUMENTE OFICIALE\ANEXA 5 - CONTRACT DE FINANTARE.docx</t>
        </is>
      </c>
      <c r="C456" s="2" t="inlineStr">
        <is>
          <t>ANEXA 5 - CONTRACT DE FINANTARE.docx</t>
        </is>
      </c>
      <c r="D456" s="2" t="inlineStr">
        <is>
          <t>.docx</t>
        </is>
      </c>
      <c r="E456" s="2" t="n">
        <v>97873</v>
      </c>
      <c r="F456" s="2" t="inlineStr">
        <is>
          <t>2026-06-25T15:25:39</t>
        </is>
      </c>
      <c r="G456" s="2" t="inlineStr">
        <is>
          <t>text Word integral</t>
        </is>
      </c>
      <c r="H456" s="2" t="inlineStr"/>
    </row>
    <row r="457">
      <c r="A457" s="2" t="inlineStr">
        <is>
          <t>\\192.168.100.169\Comun\00. Proiecte 2026</t>
        </is>
      </c>
      <c r="B457" s="2" t="inlineStr">
        <is>
          <t>\\192.168.100.169\Comun\00. Proiecte 2026\2026.12.30 - PoCIDIF – Acțiunea 2.4, EDIH Apel 2\1.DOCUMENTE OFICIALE\ANEXA 6 - CONDITII SPECIFICE ALE CONTRACTULUI DE FINANTARE.docx</t>
        </is>
      </c>
      <c r="C457" s="2" t="inlineStr">
        <is>
          <t>ANEXA 6 - CONDITII SPECIFICE ALE CONTRACTULUI DE FINANTARE.docx</t>
        </is>
      </c>
      <c r="D457" s="2" t="inlineStr">
        <is>
          <t>.docx</t>
        </is>
      </c>
      <c r="E457" s="2" t="n">
        <v>39834</v>
      </c>
      <c r="F457" s="2" t="inlineStr">
        <is>
          <t>2026-06-25T15:25:39</t>
        </is>
      </c>
      <c r="G457" s="2" t="inlineStr">
        <is>
          <t>text Word integral</t>
        </is>
      </c>
      <c r="H457" s="2" t="inlineStr"/>
    </row>
    <row r="458">
      <c r="A458" s="2" t="inlineStr">
        <is>
          <t>\\192.168.100.169\Comun\00. Proiecte 2026</t>
        </is>
      </c>
      <c r="B458" s="2" t="inlineStr">
        <is>
          <t>\\192.168.100.169\Comun\00. Proiecte 2026\2026.12.30 - PoCIDIF – Acțiunea 2.4, EDIH Apel 2\1.DOCUMENTE OFICIALE\ANEXA 7 - RAPORT DE PROGRES.docx</t>
        </is>
      </c>
      <c r="C458" s="2" t="inlineStr">
        <is>
          <t>ANEXA 7 - RAPORT DE PROGRES.docx</t>
        </is>
      </c>
      <c r="D458" s="2" t="inlineStr">
        <is>
          <t>.docx</t>
        </is>
      </c>
      <c r="E458" s="2" t="n">
        <v>23370</v>
      </c>
      <c r="F458" s="2" t="inlineStr">
        <is>
          <t>2026-06-25T15:25:39</t>
        </is>
      </c>
      <c r="G458" s="2" t="inlineStr">
        <is>
          <t>text Word integral</t>
        </is>
      </c>
      <c r="H458" s="2" t="inlineStr"/>
    </row>
    <row r="459">
      <c r="A459" s="2" t="inlineStr">
        <is>
          <t>\\192.168.100.169\Comun\00. Proiecte 2026</t>
        </is>
      </c>
      <c r="B459" s="2" t="inlineStr">
        <is>
          <t>\\192.168.100.169\Comun\00. Proiecte 2026\2026.12.30 - PoCIDIF – Acțiunea 2.4, EDIH Apel 2\1.DOCUMENTE OFICIALE\ANEXA 8 - RAPORT DE VIZITA.docx</t>
        </is>
      </c>
      <c r="C459" s="2" t="inlineStr">
        <is>
          <t>ANEXA 8 - RAPORT DE VIZITA.docx</t>
        </is>
      </c>
      <c r="D459" s="2" t="inlineStr">
        <is>
          <t>.docx</t>
        </is>
      </c>
      <c r="E459" s="2" t="n">
        <v>19912</v>
      </c>
      <c r="F459" s="2" t="inlineStr">
        <is>
          <t>2026-06-25T15:25:40</t>
        </is>
      </c>
      <c r="G459" s="2" t="inlineStr">
        <is>
          <t>text Word integral</t>
        </is>
      </c>
      <c r="H459" s="2" t="inlineStr"/>
    </row>
    <row r="460">
      <c r="A460" s="2" t="inlineStr">
        <is>
          <t>\\192.168.100.169\Comun\00. Proiecte 2026</t>
        </is>
      </c>
      <c r="B460" s="2" t="inlineStr">
        <is>
          <t>\\192.168.100.169\Comun\00. Proiecte 2026\2026.12.30 - PoCIDIF – Acțiunea 2.4, EDIH Apel 2\1.DOCUMENTE OFICIALE\ANEXA 9 - LISTA DE VERIFICARE IMM.docx</t>
        </is>
      </c>
      <c r="C460" s="2" t="inlineStr">
        <is>
          <t>ANEXA 9 - LISTA DE VERIFICARE IMM.docx</t>
        </is>
      </c>
      <c r="D460" s="2" t="inlineStr">
        <is>
          <t>.docx</t>
        </is>
      </c>
      <c r="E460" s="2" t="n">
        <v>25420</v>
      </c>
      <c r="F460" s="2" t="inlineStr">
        <is>
          <t>2026-06-25T15:25:40</t>
        </is>
      </c>
      <c r="G460" s="2" t="inlineStr">
        <is>
          <t>text Word integral</t>
        </is>
      </c>
      <c r="H460" s="2" t="inlineStr"/>
    </row>
    <row r="461">
      <c r="A461" s="2" t="inlineStr">
        <is>
          <t>\\192.168.100.169\Comun\00. Proiecte 2026</t>
        </is>
      </c>
      <c r="B461" s="2" t="inlineStr">
        <is>
          <t>\\192.168.100.169\Comun\00. Proiecte 2026\2026.12.30 - PoCIDIF – Acțiunea 2.4, EDIH Apel 2\1.DOCUMENTE OFICIALE\GHIDUL SOL.ICITANTULUI.pdf</t>
        </is>
      </c>
      <c r="C461" s="2" t="inlineStr">
        <is>
          <t>GHIDUL SOL.ICITANTULUI.pdf</t>
        </is>
      </c>
      <c r="D461" s="2" t="inlineStr">
        <is>
          <t>.pdf</t>
        </is>
      </c>
      <c r="E461" s="2" t="n">
        <v>1263322</v>
      </c>
      <c r="F461" s="2" t="inlineStr">
        <is>
          <t>2026-06-25T15:25:09</t>
        </is>
      </c>
      <c r="G461" s="2" t="inlineStr">
        <is>
          <t>text PDF integral</t>
        </is>
      </c>
      <c r="H461" s="2" t="inlineStr"/>
    </row>
    <row r="462">
      <c r="A462" s="2" t="inlineStr">
        <is>
          <t>\\192.168.100.169\Comun\00. Proiecte 2026</t>
        </is>
      </c>
      <c r="B462" s="2" t="inlineStr">
        <is>
          <t>\\192.168.100.169\Comun\00. Proiecte 2026\2026.12.30 - PoCIDIF – Acțiunea 2.4, EDIH Apel 2\1.DOCUMENTE OFICIALE\Ghidul-solicitantului_EDIH_Apel 2.docx</t>
        </is>
      </c>
      <c r="C462" s="2" t="inlineStr">
        <is>
          <t>Ghidul-solicitantului_EDIH_Apel 2.docx</t>
        </is>
      </c>
      <c r="D462" s="2" t="inlineStr">
        <is>
          <t>.docx</t>
        </is>
      </c>
      <c r="E462" s="2" t="n">
        <v>189300</v>
      </c>
      <c r="F462" s="2" t="inlineStr">
        <is>
          <t>2026-06-25T15:25:40</t>
        </is>
      </c>
      <c r="G462" s="2" t="inlineStr">
        <is>
          <t>text Word integral</t>
        </is>
      </c>
      <c r="H462" s="2" t="inlineStr"/>
    </row>
    <row r="463">
      <c r="A463" s="2" t="inlineStr">
        <is>
          <t>\\192.168.100.169\Comun\00. Proiecte 2026</t>
        </is>
      </c>
      <c r="B463" s="2" t="inlineStr">
        <is>
          <t>\\192.168.100.169\Comun\00. Proiecte 2026\2028.08.14 -  Schemă de ajutor privind sprijinirea investițiilor în noi capacități de producere a energiei electrice\1. DOCUMENTE OFICIALE\Anexa 1 Cerere Finantare DR 19.pdf</t>
        </is>
      </c>
      <c r="C463" s="2" t="inlineStr">
        <is>
          <t>Anexa 1 Cerere Finantare DR 19.pdf</t>
        </is>
      </c>
      <c r="D463" s="2" t="inlineStr">
        <is>
          <t>.pdf</t>
        </is>
      </c>
      <c r="E463" s="2" t="n">
        <v>1342905</v>
      </c>
      <c r="F463" s="2" t="inlineStr">
        <is>
          <t>2026-06-25T14:49:13</t>
        </is>
      </c>
      <c r="G463" s="2" t="inlineStr">
        <is>
          <t>text PDF integral</t>
        </is>
      </c>
      <c r="H463" s="2" t="inlineStr"/>
    </row>
    <row r="464">
      <c r="A464" s="2" t="inlineStr">
        <is>
          <t>\\192.168.100.169\Comun\00. Proiecte 2026</t>
        </is>
      </c>
      <c r="B464" s="2" t="inlineStr">
        <is>
          <t>\\192.168.100.169\Comun\00. Proiecte 2026\2028.08.14 -  Schemă de ajutor privind sprijinirea investițiilor în noi capacități de producere a energiei electrice\1. DOCUMENTE OFICIALE\Anexa 10 Lista UAT din zona unde se implementează instrumentul teritorial integrat Delta Dunării (ITI).pdf</t>
        </is>
      </c>
      <c r="C464" s="2" t="inlineStr">
        <is>
          <t>Anexa 10 Lista UAT din zona unde se implementează instrumentul teritorial integrat Delta Dunării (ITI).pdf</t>
        </is>
      </c>
      <c r="D464" s="2" t="inlineStr">
        <is>
          <t>.pdf</t>
        </is>
      </c>
      <c r="E464" s="2" t="n">
        <v>269351</v>
      </c>
      <c r="F464" s="2" t="inlineStr">
        <is>
          <t>2026-06-25T14:49:35</t>
        </is>
      </c>
      <c r="G464" s="2" t="inlineStr">
        <is>
          <t>PDF fără text extractibil; OCR necesar</t>
        </is>
      </c>
      <c r="H464" s="2" t="inlineStr"/>
    </row>
    <row r="465">
      <c r="A465" s="2" t="inlineStr">
        <is>
          <t>\\192.168.100.169\Comun\00. Proiecte 2026</t>
        </is>
      </c>
      <c r="B465" s="2" t="inlineStr">
        <is>
          <t>\\192.168.100.169\Comun\00. Proiecte 2026\2028.08.14 -  Schemă de ajutor privind sprijinirea investițiilor în noi capacități de producere a energiei electrice\1. DOCUMENTE OFICIALE\Anexa 2 C1.1 Contract de Finanțare DR 19 (Editia I, Revizia 1).docx</t>
        </is>
      </c>
      <c r="C465" s="2" t="inlineStr">
        <is>
          <t>Anexa 2 C1.1 Contract de Finanțare DR 19 (Editia I, Revizia 1).docx</t>
        </is>
      </c>
      <c r="D465" s="2" t="inlineStr">
        <is>
          <t>.docx</t>
        </is>
      </c>
      <c r="E465" s="2" t="n">
        <v>138971</v>
      </c>
      <c r="F465" s="2" t="inlineStr">
        <is>
          <t>2026-06-25T14:49:14</t>
        </is>
      </c>
      <c r="G465" s="2" t="inlineStr">
        <is>
          <t>text Word integral</t>
        </is>
      </c>
      <c r="H465" s="2" t="inlineStr"/>
    </row>
    <row r="466">
      <c r="A466" s="2" t="inlineStr">
        <is>
          <t>\\192.168.100.169\Comun\00. Proiecte 2026</t>
        </is>
      </c>
      <c r="B466" s="2" t="inlineStr">
        <is>
          <t>\\192.168.100.169\Comun\00. Proiecte 2026\2028.08.14 -  Schemă de ajutor privind sprijinirea investițiilor în noi capacități de producere a energiei electrice\1. DOCUMENTE OFICIALE\Anexa 3 Fișa intervenţiei DR 19.pdf</t>
        </is>
      </c>
      <c r="C466" s="2" t="inlineStr">
        <is>
          <t>Anexa 3 Fișa intervenţiei DR 19.pdf</t>
        </is>
      </c>
      <c r="D466" s="2" t="inlineStr">
        <is>
          <t>.pdf</t>
        </is>
      </c>
      <c r="E466" s="2" t="n">
        <v>677583</v>
      </c>
      <c r="F466" s="2" t="inlineStr">
        <is>
          <t>2026-06-25T14:49:22</t>
        </is>
      </c>
      <c r="G466" s="2" t="inlineStr">
        <is>
          <t>text PDF integral</t>
        </is>
      </c>
      <c r="H466" s="2" t="inlineStr"/>
    </row>
    <row r="467">
      <c r="A467" s="2" t="inlineStr">
        <is>
          <t>\\192.168.100.169\Comun\00. Proiecte 2026</t>
        </is>
      </c>
      <c r="B467" s="2" t="inlineStr">
        <is>
          <t>\\192.168.100.169\Comun\00. Proiecte 2026\2028.08.14 -  Schemă de ajutor privind sprijinirea investițiilor în noi capacități de producere a energiei electrice\1. DOCUMENTE OFICIALE\Anexa 5 Coeficienţi producţie standard 2020.xlsx</t>
        </is>
      </c>
      <c r="C467" s="2" t="inlineStr">
        <is>
          <t>Anexa 5 Coeficienţi producţie standard 2020.xlsx</t>
        </is>
      </c>
      <c r="D467" s="2" t="inlineStr">
        <is>
          <t>.xlsx</t>
        </is>
      </c>
      <c r="E467" s="2" t="n">
        <v>17994</v>
      </c>
      <c r="F467" s="2" t="inlineStr">
        <is>
          <t>2026-06-25T14:49:30</t>
        </is>
      </c>
      <c r="G467" s="2" t="inlineStr">
        <is>
          <t>valori Excel; fără obiecte încorporate</t>
        </is>
      </c>
      <c r="H467" s="2" t="inlineStr"/>
    </row>
    <row r="468">
      <c r="A468" s="2" t="inlineStr">
        <is>
          <t>\\192.168.100.169\Comun\00. Proiecte 2026</t>
        </is>
      </c>
      <c r="B468" s="2" t="inlineStr">
        <is>
          <t>\\192.168.100.169\Comun\00. Proiecte 2026\2028.08.14 -  Schemă de ajutor privind sprijinirea investițiilor în noi capacități de producere a energiei electrice\1. DOCUMENTE OFICIALE\Anexa 6 Costurile standard pentru toate culturile anii 1 - 3.xlsx</t>
        </is>
      </c>
      <c r="C468" s="2" t="inlineStr">
        <is>
          <t>Anexa 6 Costurile standard pentru toate culturile anii 1 - 3.xlsx</t>
        </is>
      </c>
      <c r="D468" s="2" t="inlineStr">
        <is>
          <t>.xlsx</t>
        </is>
      </c>
      <c r="E468" s="2" t="n">
        <v>46220</v>
      </c>
      <c r="F468" s="2" t="inlineStr">
        <is>
          <t>2026-06-25T14:49:32</t>
        </is>
      </c>
      <c r="G468" s="2" t="inlineStr">
        <is>
          <t>valori Excel; fără obiecte încorporate</t>
        </is>
      </c>
      <c r="H468" s="2" t="inlineStr"/>
    </row>
    <row r="469">
      <c r="A469" s="2" t="inlineStr">
        <is>
          <t>\\192.168.100.169\Comun\00. Proiecte 2026</t>
        </is>
      </c>
      <c r="B469" s="2" t="inlineStr">
        <is>
          <t>\\192.168.100.169\Comun\00. Proiecte 2026\2028.08.14 -  Schemă de ajutor privind sprijinirea investițiilor în noi capacități de producere a energiei electrice\1. DOCUMENTE OFICIALE\Anexa 7 Instrucţiuni privind evitarea creării de condiţii artificiale.docx</t>
        </is>
      </c>
      <c r="C469" s="2" t="inlineStr">
        <is>
          <t>Anexa 7 Instrucţiuni privind evitarea creării de condiţii artificiale.docx</t>
        </is>
      </c>
      <c r="D469" s="2" t="inlineStr">
        <is>
          <t>.docx</t>
        </is>
      </c>
      <c r="E469" s="2" t="n">
        <v>25993</v>
      </c>
      <c r="F469" s="2" t="inlineStr">
        <is>
          <t>2026-06-25T14:49:32</t>
        </is>
      </c>
      <c r="G469" s="2" t="inlineStr">
        <is>
          <t>text Word integral</t>
        </is>
      </c>
      <c r="H469" s="2" t="inlineStr"/>
    </row>
    <row r="470">
      <c r="A470" s="2" t="inlineStr">
        <is>
          <t>\\192.168.100.169\Comun\00. Proiecte 2026</t>
        </is>
      </c>
      <c r="B470" s="2" t="inlineStr">
        <is>
          <t>\\192.168.100.169\Comun\00. Proiecte 2026\2028.08.14 -  Schemă de ajutor privind sprijinirea investițiilor în noi capacități de producere a energiei electrice\1. DOCUMENTE OFICIALE\Anexa 8 Declaraţie pe propria răspundere inexistenţă litigii terenuri.docx</t>
        </is>
      </c>
      <c r="C470" s="2" t="inlineStr">
        <is>
          <t>Anexa 8 Declaraţie pe propria răspundere inexistenţă litigii terenuri.docx</t>
        </is>
      </c>
      <c r="D470" s="2" t="inlineStr">
        <is>
          <t>.docx</t>
        </is>
      </c>
      <c r="E470" s="2" t="n">
        <v>25790</v>
      </c>
      <c r="F470" s="2" t="inlineStr">
        <is>
          <t>2026-06-25T14:49:33</t>
        </is>
      </c>
      <c r="G470" s="2" t="inlineStr">
        <is>
          <t>text Word integral</t>
        </is>
      </c>
      <c r="H470" s="2" t="inlineStr"/>
    </row>
    <row r="471">
      <c r="A471" s="2" t="inlineStr">
        <is>
          <t>\\192.168.100.169\Comun\00. Proiecte 2026</t>
        </is>
      </c>
      <c r="B471" s="2" t="inlineStr">
        <is>
          <t>\\192.168.100.169\Comun\00. Proiecte 2026\2028.08.14 -  Schemă de ajutor privind sprijinirea investițiilor în noi capacități de producere a energiei electrice\1. DOCUMENTE OFICIALE\Ghidul solicitantului DR 19.pdf</t>
        </is>
      </c>
      <c r="C471" s="2" t="inlineStr">
        <is>
          <t>Ghidul solicitantului DR 19.pdf</t>
        </is>
      </c>
      <c r="D471" s="2" t="inlineStr">
        <is>
          <t>.pdf</t>
        </is>
      </c>
      <c r="E471" s="2" t="n">
        <v>2232204</v>
      </c>
      <c r="F471" s="2" t="inlineStr">
        <is>
          <t>2026-06-25T14:49:12</t>
        </is>
      </c>
      <c r="G471" s="2" t="inlineStr">
        <is>
          <t>text PDF integral</t>
        </is>
      </c>
      <c r="H471" s="2" t="inlineStr"/>
    </row>
    <row r="472">
      <c r="A472" s="2" t="inlineStr">
        <is>
          <t>\\192.168.100.169\Comun\00. Proiecte 2026</t>
        </is>
      </c>
      <c r="B472" s="2" t="inlineStr">
        <is>
          <t>\\192.168.100.169\Comun\00. Proiecte 2026\9999. 2026.06.30 - FERME DR-19 Investiții neproductive la nivel de fermă\conditii eligibilitate.docx</t>
        </is>
      </c>
      <c r="C472" s="2" t="inlineStr">
        <is>
          <t>conditii eligibilitate.docx</t>
        </is>
      </c>
      <c r="D472" s="2" t="inlineStr">
        <is>
          <t>.docx</t>
        </is>
      </c>
      <c r="E472" s="2" t="n">
        <v>24030</v>
      </c>
      <c r="F472" s="2" t="inlineStr">
        <is>
          <t>2026-06-26T13:11:58</t>
        </is>
      </c>
      <c r="G472" s="2" t="inlineStr">
        <is>
          <t>text Word integral</t>
        </is>
      </c>
      <c r="H472" s="2" t="inlineStr"/>
    </row>
    <row r="473">
      <c r="A473" s="2" t="inlineStr">
        <is>
          <t>\\192.168.100.169\Comun\00. Proiecte 2026</t>
        </is>
      </c>
      <c r="B473" s="2" t="inlineStr">
        <is>
          <t>\\192.168.100.169\Comun\00. Proiecte 2026\9999. 2026.06.30 - FERME DR-19 Investiții neproductive la nivel de fermă\1. DOCUMENTE OFICIALE\60b197d8e5309bd0cf02e54bf9db86bb (1).zip</t>
        </is>
      </c>
      <c r="C473" s="2" t="inlineStr">
        <is>
          <t>60b197d8e5309bd0cf02e54bf9db86bb (1).zip</t>
        </is>
      </c>
      <c r="D473" s="2" t="inlineStr">
        <is>
          <t>.zip</t>
        </is>
      </c>
      <c r="E473" s="2" t="n">
        <v>2148629</v>
      </c>
      <c r="F473" s="2" t="inlineStr">
        <is>
          <t>2026-06-25T14:42:58</t>
        </is>
      </c>
      <c r="G473" s="2" t="inlineStr">
        <is>
          <t>numai nume din arhivă; fără extragere</t>
        </is>
      </c>
      <c r="H473" s="2" t="inlineStr"/>
    </row>
    <row r="474">
      <c r="A474" s="2" t="inlineStr">
        <is>
          <t>\\192.168.100.169\Comun\00. Proiecte 2026</t>
        </is>
      </c>
      <c r="B474" s="2" t="inlineStr">
        <is>
          <t>\\192.168.100.169\Comun\00. Proiecte 2026\9999. 2026.06.30 - FERME DR-19 Investiții neproductive la nivel de fermă\1. DOCUMENTE OFICIALE\60b197d8e5309bd0cf02e54bf9db86bb.zip</t>
        </is>
      </c>
      <c r="C474" s="2" t="inlineStr">
        <is>
          <t>60b197d8e5309bd0cf02e54bf9db86bb.zip</t>
        </is>
      </c>
      <c r="D474" s="2" t="inlineStr">
        <is>
          <t>.zip</t>
        </is>
      </c>
      <c r="E474" s="2" t="n">
        <v>2148629</v>
      </c>
      <c r="F474" s="2" t="inlineStr">
        <is>
          <t>2026-06-25T14:42:46</t>
        </is>
      </c>
      <c r="G474" s="2" t="inlineStr">
        <is>
          <t>numai nume din arhivă; fără extragere</t>
        </is>
      </c>
      <c r="H474" s="2" t="inlineStr"/>
    </row>
    <row r="475">
      <c r="A475" s="2" t="inlineStr">
        <is>
          <t>\\192.168.100.169\Comun\00. Proiecte 2026</t>
        </is>
      </c>
      <c r="B475" s="2" t="inlineStr">
        <is>
          <t>\\192.168.100.169\Comun\00. Proiecte 2026\9999. 2026.06.30 - FERME DR-19 Investiții neproductive la nivel de fermă\1. DOCUMENTE OFICIALE\a3d2526d36497533de96f30a8bf81658.zip</t>
        </is>
      </c>
      <c r="C475" s="2" t="inlineStr">
        <is>
          <t>a3d2526d36497533de96f30a8bf81658.zip</t>
        </is>
      </c>
      <c r="D475" s="2" t="inlineStr">
        <is>
          <t>.zip</t>
        </is>
      </c>
      <c r="E475" s="2" t="n">
        <v>5198404</v>
      </c>
      <c r="F475" s="2" t="inlineStr">
        <is>
          <t>2026-06-25T14:39:50</t>
        </is>
      </c>
      <c r="G475" s="2" t="inlineStr">
        <is>
          <t>numai nume din arhivă; fără extragere</t>
        </is>
      </c>
      <c r="H475" s="2" t="inlineStr"/>
    </row>
    <row r="476">
      <c r="A476" s="2" t="inlineStr">
        <is>
          <t>\\192.168.100.169\Comun\00. Proiecte 2026</t>
        </is>
      </c>
      <c r="B476" s="2" t="inlineStr">
        <is>
          <t>\\192.168.100.169\Comun\00. Proiecte 2026\9999. 2026.06.30 - FERME DR-19 Investiții neproductive la nivel de fermă\1. DOCUMENTE OFICIALE\Anexa 1 Cerere Finantare DR 19.pdf</t>
        </is>
      </c>
      <c r="C476" s="2" t="inlineStr">
        <is>
          <t>Anexa 1 Cerere Finantare DR 19.pdf</t>
        </is>
      </c>
      <c r="D476" s="2" t="inlineStr">
        <is>
          <t>.pdf</t>
        </is>
      </c>
      <c r="E476" s="2" t="n">
        <v>1342905</v>
      </c>
      <c r="F476" s="2" t="inlineStr">
        <is>
          <t>2026-06-25T14:49:13</t>
        </is>
      </c>
      <c r="G476" s="2" t="inlineStr">
        <is>
          <t>text PDF integral</t>
        </is>
      </c>
      <c r="H476" s="2" t="inlineStr"/>
    </row>
    <row r="477">
      <c r="A477" s="2" t="inlineStr">
        <is>
          <t>\\192.168.100.169\Comun\00. Proiecte 2026</t>
        </is>
      </c>
      <c r="B477" s="2" t="inlineStr">
        <is>
          <t>\\192.168.100.169\Comun\00. Proiecte 2026\9999. 2026.06.30 - FERME DR-19 Investiții neproductive la nivel de fermă\1. DOCUMENTE OFICIALE\Anexa 2 C1.1 Contract de Finanțare DR 19 (Editia I, Revizia 1).docx</t>
        </is>
      </c>
      <c r="C477" s="2" t="inlineStr">
        <is>
          <t>Anexa 2 C1.1 Contract de Finanțare DR 19 (Editia I, Revizia 1).docx</t>
        </is>
      </c>
      <c r="D477" s="2" t="inlineStr">
        <is>
          <t>.docx</t>
        </is>
      </c>
      <c r="E477" s="2" t="n">
        <v>138971</v>
      </c>
      <c r="F477" s="2" t="inlineStr">
        <is>
          <t>2026-06-25T14:49:14</t>
        </is>
      </c>
      <c r="G477" s="2" t="inlineStr">
        <is>
          <t>text Word integral</t>
        </is>
      </c>
      <c r="H477" s="2" t="inlineStr"/>
    </row>
    <row r="478">
      <c r="A478" s="2" t="inlineStr">
        <is>
          <t>\\192.168.100.169\Comun\00. Proiecte 2026</t>
        </is>
      </c>
      <c r="B478" s="2" t="inlineStr">
        <is>
          <t>\\192.168.100.169\Comun\00. Proiecte 2026\9999. 2026.06.30 - FERME DR-19 Investiții neproductive la nivel de fermă\1. DOCUMENTE OFICIALE\Anexa 3 Fișa intervenţiei DR 19.pdf</t>
        </is>
      </c>
      <c r="C478" s="2" t="inlineStr">
        <is>
          <t>Anexa 3 Fișa intervenţiei DR 19.pdf</t>
        </is>
      </c>
      <c r="D478" s="2" t="inlineStr">
        <is>
          <t>.pdf</t>
        </is>
      </c>
      <c r="E478" s="2" t="n">
        <v>677583</v>
      </c>
      <c r="F478" s="2" t="inlineStr">
        <is>
          <t>2026-06-25T14:49:22</t>
        </is>
      </c>
      <c r="G478" s="2" t="inlineStr">
        <is>
          <t>text PDF integral</t>
        </is>
      </c>
      <c r="H478" s="2" t="inlineStr"/>
    </row>
    <row r="479">
      <c r="A479" s="2" t="inlineStr">
        <is>
          <t>\\192.168.100.169\Comun\00. Proiecte 2026</t>
        </is>
      </c>
      <c r="B479" s="2" t="inlineStr">
        <is>
          <t>\\192.168.100.169\Comun\00. Proiecte 2026\9999. 2026.06.30 - FERME DR-19 Investiții neproductive la nivel de fermă\1. DOCUMENTE OFICIALE\Anexa 5 Coeficienţi producţie standard 2020.xlsx</t>
        </is>
      </c>
      <c r="C479" s="2" t="inlineStr">
        <is>
          <t>Anexa 5 Coeficienţi producţie standard 2020.xlsx</t>
        </is>
      </c>
      <c r="D479" s="2" t="inlineStr">
        <is>
          <t>.xlsx</t>
        </is>
      </c>
      <c r="E479" s="2" t="n">
        <v>17994</v>
      </c>
      <c r="F479" s="2" t="inlineStr">
        <is>
          <t>2026-06-25T14:49:30</t>
        </is>
      </c>
      <c r="G479" s="2" t="inlineStr">
        <is>
          <t>valori Excel; fără obiecte încorporate</t>
        </is>
      </c>
      <c r="H479" s="2" t="inlineStr"/>
    </row>
    <row r="480">
      <c r="A480" s="2" t="inlineStr">
        <is>
          <t>\\192.168.100.169\Comun\00. Proiecte 2026</t>
        </is>
      </c>
      <c r="B480" s="2" t="inlineStr">
        <is>
          <t>\\192.168.100.169\Comun\00. Proiecte 2026\9999. 2026.06.30 - FERME DR-19 Investiții neproductive la nivel de fermă\1. DOCUMENTE OFICIALE\Ghidul solicitantului DR 19.pdf</t>
        </is>
      </c>
      <c r="C480" s="2" t="inlineStr">
        <is>
          <t>Ghidul solicitantului DR 19.pdf</t>
        </is>
      </c>
      <c r="D480" s="2" t="inlineStr">
        <is>
          <t>.pdf</t>
        </is>
      </c>
      <c r="E480" s="2" t="n">
        <v>2232204</v>
      </c>
      <c r="F480" s="2" t="inlineStr">
        <is>
          <t>2026-06-25T14:49:12</t>
        </is>
      </c>
      <c r="G480" s="2" t="inlineStr">
        <is>
          <t>text PDF integral</t>
        </is>
      </c>
      <c r="H480" s="2" t="inlineStr"/>
    </row>
    <row r="481">
      <c r="A481" s="2" t="inlineStr">
        <is>
          <t>\\192.168.100.169\Comun\00. Proiecte 2026</t>
        </is>
      </c>
      <c r="B481" s="2" t="inlineStr">
        <is>
          <t>\\192.168.100.169\Comun\00. Proiecte 2026\9999. 2026.06.30 PEO P9 Conturi personale de învățare – Inovare prin formare\CONDIȚII DE ELIGIBILITATE.docx</t>
        </is>
      </c>
      <c r="C481" s="2" t="inlineStr">
        <is>
          <t>CONDIȚII DE ELIGIBILITATE.docx</t>
        </is>
      </c>
      <c r="D481" s="2" t="inlineStr">
        <is>
          <t>.docx</t>
        </is>
      </c>
      <c r="E481" s="2" t="n">
        <v>24309</v>
      </c>
      <c r="F481" s="2" t="inlineStr">
        <is>
          <t>2026-06-26T13:16:09</t>
        </is>
      </c>
      <c r="G481" s="2" t="inlineStr">
        <is>
          <t>text Word integral</t>
        </is>
      </c>
      <c r="H481" s="2" t="inlineStr"/>
    </row>
    <row r="482">
      <c r="A482" s="2" t="inlineStr">
        <is>
          <t>\\192.168.100.169\Comun\00. Proiecte 2026</t>
        </is>
      </c>
      <c r="B482" s="2" t="inlineStr">
        <is>
          <t>\\192.168.100.169\Comun\00. Proiecte 2026\9999. 2026.06.30 PEO P9 Conturi personale de învățare – Inovare prin formare\1.DOCUMENTE OFICIALE\1. Anexa 1_9.g.5.docx</t>
        </is>
      </c>
      <c r="C482" s="2" t="inlineStr">
        <is>
          <t>1. Anexa 1_9.g.5.docx</t>
        </is>
      </c>
      <c r="D482" s="2" t="inlineStr">
        <is>
          <t>.docx</t>
        </is>
      </c>
      <c r="E482" s="2" t="n">
        <v>31906</v>
      </c>
      <c r="F482" s="2" t="inlineStr">
        <is>
          <t>2026-06-25T15:31:14</t>
        </is>
      </c>
      <c r="G482" s="2" t="inlineStr">
        <is>
          <t>text Word integral</t>
        </is>
      </c>
      <c r="H482" s="2" t="inlineStr"/>
    </row>
    <row r="483">
      <c r="A483" s="2" t="inlineStr">
        <is>
          <t>\\192.168.100.169\Comun\00. Proiecte 2026</t>
        </is>
      </c>
      <c r="B483" s="2" t="inlineStr">
        <is>
          <t>\\192.168.100.169\Comun\00. Proiecte 2026\9999. 2026.06.30 PEO P9 Conturi personale de învățare – Inovare prin formare\1.DOCUMENTE OFICIALE\1. Anexa 1_9.g.5.pdf</t>
        </is>
      </c>
      <c r="C483" s="2" t="inlineStr">
        <is>
          <t>1. Anexa 1_9.g.5.pdf</t>
        </is>
      </c>
      <c r="D483" s="2" t="inlineStr">
        <is>
          <t>.pdf</t>
        </is>
      </c>
      <c r="E483" s="2" t="n">
        <v>146376</v>
      </c>
      <c r="F483" s="2" t="inlineStr">
        <is>
          <t>2026-06-25T15:31:06</t>
        </is>
      </c>
      <c r="G483" s="2" t="inlineStr">
        <is>
          <t>text PDF integral</t>
        </is>
      </c>
      <c r="H483" s="2" t="inlineStr"/>
    </row>
    <row r="484">
      <c r="A484" s="2" t="inlineStr">
        <is>
          <t>\\192.168.100.169\Comun\00. Proiecte 2026</t>
        </is>
      </c>
      <c r="B484" s="2" t="inlineStr">
        <is>
          <t>\\192.168.100.169\Comun\00. Proiecte 2026\9999. 2026.06.30 PEO P9 Conturi personale de învățare – Inovare prin formare\1.DOCUMENTE OFICIALE\2. Anexa 2_9.g.5.docx</t>
        </is>
      </c>
      <c r="C484" s="2" t="inlineStr">
        <is>
          <t>2. Anexa 2_9.g.5.docx</t>
        </is>
      </c>
      <c r="D484" s="2" t="inlineStr">
        <is>
          <t>.docx</t>
        </is>
      </c>
      <c r="E484" s="2" t="n">
        <v>24005</v>
      </c>
      <c r="F484" s="2" t="inlineStr">
        <is>
          <t>2026-06-25T15:31:15</t>
        </is>
      </c>
      <c r="G484" s="2" t="inlineStr">
        <is>
          <t>text Word integral</t>
        </is>
      </c>
      <c r="H484" s="2" t="inlineStr"/>
    </row>
    <row r="485">
      <c r="A485" s="2" t="inlineStr">
        <is>
          <t>\\192.168.100.169\Comun\00. Proiecte 2026</t>
        </is>
      </c>
      <c r="B485" s="2" t="inlineStr">
        <is>
          <t>\\192.168.100.169\Comun\00. Proiecte 2026\9999. 2026.06.30 PEO P9 Conturi personale de învățare – Inovare prin formare\1.DOCUMENTE OFICIALE\2. Anexa 2_9.g.5.pdf</t>
        </is>
      </c>
      <c r="C485" s="2" t="inlineStr">
        <is>
          <t>2. Anexa 2_9.g.5.pdf</t>
        </is>
      </c>
      <c r="D485" s="2" t="inlineStr">
        <is>
          <t>.pdf</t>
        </is>
      </c>
      <c r="E485" s="2" t="n">
        <v>153268</v>
      </c>
      <c r="F485" s="2" t="inlineStr">
        <is>
          <t>2026-06-25T15:31:07</t>
        </is>
      </c>
      <c r="G485" s="2" t="inlineStr">
        <is>
          <t>text PDF integral</t>
        </is>
      </c>
      <c r="H485" s="2" t="inlineStr"/>
    </row>
    <row r="486">
      <c r="A486" s="2" t="inlineStr">
        <is>
          <t>\\192.168.100.169\Comun\00. Proiecte 2026</t>
        </is>
      </c>
      <c r="B486" s="2" t="inlineStr">
        <is>
          <t>\\192.168.100.169\Comun\00. Proiecte 2026\9999. 2026.06.30 PEO P9 Conturi personale de învățare – Inovare prin formare\1.DOCUMENTE OFICIALE\3. Anexa 3_9.g.5.docx</t>
        </is>
      </c>
      <c r="C486" s="2" t="inlineStr">
        <is>
          <t>3. Anexa 3_9.g.5.docx</t>
        </is>
      </c>
      <c r="D486" s="2" t="inlineStr">
        <is>
          <t>.docx</t>
        </is>
      </c>
      <c r="E486" s="2" t="n">
        <v>33357</v>
      </c>
      <c r="F486" s="2" t="inlineStr">
        <is>
          <t>2026-06-25T15:31:15</t>
        </is>
      </c>
      <c r="G486" s="2" t="inlineStr">
        <is>
          <t>text Word integral</t>
        </is>
      </c>
      <c r="H486" s="2" t="inlineStr"/>
    </row>
    <row r="487">
      <c r="A487" s="2" t="inlineStr">
        <is>
          <t>\\192.168.100.169\Comun\00. Proiecte 2026</t>
        </is>
      </c>
      <c r="B487" s="2" t="inlineStr">
        <is>
          <t>\\192.168.100.169\Comun\00. Proiecte 2026\9999. 2026.06.30 PEO P9 Conturi personale de învățare – Inovare prin formare\1.DOCUMENTE OFICIALE\3. Anexa 3_9.g.5.pdf</t>
        </is>
      </c>
      <c r="C487" s="2" t="inlineStr">
        <is>
          <t>3. Anexa 3_9.g.5.pdf</t>
        </is>
      </c>
      <c r="D487" s="2" t="inlineStr">
        <is>
          <t>.pdf</t>
        </is>
      </c>
      <c r="E487" s="2" t="n">
        <v>140717</v>
      </c>
      <c r="F487" s="2" t="inlineStr">
        <is>
          <t>2026-06-25T15:31:07</t>
        </is>
      </c>
      <c r="G487" s="2" t="inlineStr">
        <is>
          <t>text PDF integral</t>
        </is>
      </c>
      <c r="H487" s="2" t="inlineStr"/>
    </row>
    <row r="488">
      <c r="A488" s="2" t="inlineStr">
        <is>
          <t>\\192.168.100.169\Comun\00. Proiecte 2026</t>
        </is>
      </c>
      <c r="B488" s="2" t="inlineStr">
        <is>
          <t>\\192.168.100.169\Comun\00. Proiecte 2026\9999. 2026.06.30 PEO P9 Conturi personale de învățare – Inovare prin formare\1.DOCUMENTE OFICIALE\4. Anexa 4_9.g.5.docx</t>
        </is>
      </c>
      <c r="C488" s="2" t="inlineStr">
        <is>
          <t>4. Anexa 4_9.g.5.docx</t>
        </is>
      </c>
      <c r="D488" s="2" t="inlineStr">
        <is>
          <t>.docx</t>
        </is>
      </c>
      <c r="E488" s="2" t="n">
        <v>109916</v>
      </c>
      <c r="F488" s="2" t="inlineStr">
        <is>
          <t>2026-06-25T15:31:07</t>
        </is>
      </c>
      <c r="G488" s="2" t="inlineStr">
        <is>
          <t>text Word integral</t>
        </is>
      </c>
      <c r="H488" s="2" t="inlineStr"/>
    </row>
    <row r="489">
      <c r="A489" s="2" t="inlineStr">
        <is>
          <t>\\192.168.100.169\Comun\00. Proiecte 2026</t>
        </is>
      </c>
      <c r="B489" s="2" t="inlineStr">
        <is>
          <t>\\192.168.100.169\Comun\00. Proiecte 2026\9999. 2026.06.30 PEO P9 Conturi personale de învățare – Inovare prin formare\1.DOCUMENTE OFICIALE\5. Anexa 5_9.g.5.docx</t>
        </is>
      </c>
      <c r="C489" s="2" t="inlineStr">
        <is>
          <t>5. Anexa 5_9.g.5.docx</t>
        </is>
      </c>
      <c r="D489" s="2" t="inlineStr">
        <is>
          <t>.docx</t>
        </is>
      </c>
      <c r="E489" s="2" t="n">
        <v>25390</v>
      </c>
      <c r="F489" s="2" t="inlineStr">
        <is>
          <t>2026-06-25T15:31:08</t>
        </is>
      </c>
      <c r="G489" s="2" t="inlineStr">
        <is>
          <t>text Word integral</t>
        </is>
      </c>
      <c r="H489" s="2" t="inlineStr"/>
    </row>
    <row r="490">
      <c r="A490" s="2" t="inlineStr">
        <is>
          <t>\\192.168.100.169\Comun\00. Proiecte 2026</t>
        </is>
      </c>
      <c r="B490" s="2" t="inlineStr">
        <is>
          <t>\\192.168.100.169\Comun\00. Proiecte 2026\9999. 2026.06.30 PEO P9 Conturi personale de învățare – Inovare prin formare\1.DOCUMENTE OFICIALE\6. Anexa 6_9.g.5.docx</t>
        </is>
      </c>
      <c r="C490" s="2" t="inlineStr">
        <is>
          <t>6. Anexa 6_9.g.5.docx</t>
        </is>
      </c>
      <c r="D490" s="2" t="inlineStr">
        <is>
          <t>.docx</t>
        </is>
      </c>
      <c r="E490" s="2" t="n">
        <v>25243</v>
      </c>
      <c r="F490" s="2" t="inlineStr">
        <is>
          <t>2026-06-25T15:31:08</t>
        </is>
      </c>
      <c r="G490" s="2" t="inlineStr">
        <is>
          <t>text Word integral</t>
        </is>
      </c>
      <c r="H490" s="2" t="inlineStr"/>
    </row>
    <row r="491">
      <c r="A491" s="2" t="inlineStr">
        <is>
          <t>\\192.168.100.169\Comun\00. Proiecte 2026</t>
        </is>
      </c>
      <c r="B491" s="2" t="inlineStr">
        <is>
          <t>\\192.168.100.169\Comun\00. Proiecte 2026\9999. 2026.06.30 PEO P9 Conturi personale de învățare – Inovare prin formare\1.DOCUMENTE OFICIALE\GSCS 9.g.5_ILA CONSULTARE.docx</t>
        </is>
      </c>
      <c r="C491" s="2" t="inlineStr">
        <is>
          <t>GSCS 9.g.5_ILA CONSULTARE.docx</t>
        </is>
      </c>
      <c r="D491" s="2" t="inlineStr">
        <is>
          <t>.docx</t>
        </is>
      </c>
      <c r="E491" s="2" t="n">
        <v>132692</v>
      </c>
      <c r="F491" s="2" t="inlineStr">
        <is>
          <t>2026-06-25T15:31:16</t>
        </is>
      </c>
      <c r="G491" s="2" t="inlineStr">
        <is>
          <t>text Word integral</t>
        </is>
      </c>
      <c r="H491" s="2" t="inlineStr"/>
    </row>
    <row r="492">
      <c r="A492" s="2" t="inlineStr">
        <is>
          <t>\\192.168.100.169\Comun\00. Proiecte 2026</t>
        </is>
      </c>
      <c r="B492" s="2" t="inlineStr">
        <is>
          <t>\\192.168.100.169\Comun\00. Proiecte 2026\9999. 2026.06.30 PEO P9 Conturi personale de învățare – Inovare prin formare\1.DOCUMENTE OFICIALE\GSCS 9.g.5_ILA.pdf</t>
        </is>
      </c>
      <c r="C492" s="2" t="inlineStr">
        <is>
          <t>GSCS 9.g.5_ILA.pdf</t>
        </is>
      </c>
      <c r="D492" s="2" t="inlineStr">
        <is>
          <t>.pdf</t>
        </is>
      </c>
      <c r="E492" s="2" t="n">
        <v>684667</v>
      </c>
      <c r="F492" s="2" t="inlineStr">
        <is>
          <t>2026-06-25T15:31:08</t>
        </is>
      </c>
      <c r="G492" s="2" t="inlineStr">
        <is>
          <t>text PDF integral</t>
        </is>
      </c>
      <c r="H492" s="2" t="inlineStr"/>
    </row>
    <row r="493">
      <c r="A493" s="2" t="inlineStr">
        <is>
          <t>\\192.168.100.169\Comun\00. Proiecte 2026</t>
        </is>
      </c>
      <c r="B493" s="2" t="inlineStr">
        <is>
          <t>\\192.168.100.169\Comun\00. Proiecte 2026\9999. 2026.06.30 PEO P9 Conturi personale de învățare – Inovare prin formare\1.DOCUMENTE OFICIALE\Ordin ILA.pdf</t>
        </is>
      </c>
      <c r="C493" s="2" t="inlineStr">
        <is>
          <t>Ordin ILA.pdf</t>
        </is>
      </c>
      <c r="D493" s="2" t="inlineStr">
        <is>
          <t>.pdf</t>
        </is>
      </c>
      <c r="E493" s="2" t="n">
        <v>405849</v>
      </c>
      <c r="F493" s="2" t="inlineStr">
        <is>
          <t>2026-06-25T15:31:09</t>
        </is>
      </c>
      <c r="G493" s="2" t="inlineStr">
        <is>
          <t>PDF fără text extractibil; OCR necesar</t>
        </is>
      </c>
      <c r="H493" s="2" t="inlineStr"/>
    </row>
    <row r="494">
      <c r="A494" s="2" t="inlineStr">
        <is>
          <t>\\192.168.100.169\Comun\00. Proiecte 2026</t>
        </is>
      </c>
      <c r="B494" s="2" t="inlineStr">
        <is>
          <t>\\192.168.100.169\Comun\00. Proiecte 2026\9999. 2026.07.03 - P6 TRANZITIA FORTEI DE MUNCA\CONDIȚII DE ELIGIBILITATE.docx</t>
        </is>
      </c>
      <c r="C494" s="2" t="inlineStr">
        <is>
          <t>CONDIȚII DE ELIGIBILITATE.docx</t>
        </is>
      </c>
      <c r="D494" s="2" t="inlineStr">
        <is>
          <t>.docx</t>
        </is>
      </c>
      <c r="E494" s="2" t="n">
        <v>20345</v>
      </c>
      <c r="F494" s="2" t="inlineStr">
        <is>
          <t>2026-06-26T13:18:35</t>
        </is>
      </c>
      <c r="G494" s="2" t="inlineStr">
        <is>
          <t>text Word integral</t>
        </is>
      </c>
      <c r="H494" s="2" t="inlineStr"/>
    </row>
    <row r="495">
      <c r="A495" s="2" t="inlineStr">
        <is>
          <t>\\192.168.100.169\Comun\00. Proiecte 2026</t>
        </is>
      </c>
      <c r="B495" s="2" t="inlineStr">
        <is>
          <t>\\192.168.100.169\Comun\00. Proiecte 2026\9999. 2026.07.03 - P6 TRANZITIA FORTEI DE MUNCA\~$NDIȚII DE ELIGIBILITATE.docx</t>
        </is>
      </c>
      <c r="C495" s="2" t="inlineStr">
        <is>
          <t>~$NDIȚII DE ELIGIBILITATE.docx</t>
        </is>
      </c>
      <c r="D495" s="2" t="inlineStr">
        <is>
          <t>.docx</t>
        </is>
      </c>
      <c r="E495" s="2" t="n">
        <v>162</v>
      </c>
      <c r="F495" s="2" t="inlineStr">
        <is>
          <t>2026-07-13T11:30:57</t>
        </is>
      </c>
      <c r="G495" s="2" t="inlineStr">
        <is>
          <t>eroare: File is not a zip file</t>
        </is>
      </c>
      <c r="H495" s="2" t="inlineStr"/>
    </row>
    <row r="496">
      <c r="A496" s="2" t="inlineStr">
        <is>
          <t>\\192.168.100.169\Comun\00. Proiecte 2026</t>
        </is>
      </c>
      <c r="B496" s="2" t="inlineStr">
        <is>
          <t>\\192.168.100.169\Comun\00. Proiecte 2026\9999. 2026.07.03 - P6 TRANZITIA FORTEI DE MUNCA\1. DOCUMENTE OFICIALE\Anexa 10 Lista de verificare _etapa contractare.docx</t>
        </is>
      </c>
      <c r="C496" s="2" t="inlineStr">
        <is>
          <t>Anexa 10 Lista de verificare _etapa contractare.docx</t>
        </is>
      </c>
      <c r="D496" s="2" t="inlineStr">
        <is>
          <t>.docx</t>
        </is>
      </c>
      <c r="E496" s="2" t="n">
        <v>161886</v>
      </c>
      <c r="F496" s="2" t="inlineStr">
        <is>
          <t>2026-06-25T14:44:28</t>
        </is>
      </c>
      <c r="G496" s="2" t="inlineStr">
        <is>
          <t>text Word integral</t>
        </is>
      </c>
      <c r="H496" s="2" t="inlineStr"/>
    </row>
    <row r="497">
      <c r="A497" s="2" t="inlineStr">
        <is>
          <t>\\192.168.100.169\Comun\00. Proiecte 2026</t>
        </is>
      </c>
      <c r="B497" s="2" t="inlineStr">
        <is>
          <t>\\192.168.100.169\Comun\00. Proiecte 2026\9999. 2026.07.03 - P6 TRANZITIA FORTEI DE MUNCA\1. DOCUMENTE OFICIALE\Anexa 12 - Metoda necesarului de finanțare entitati private(funding-gap).xlsx</t>
        </is>
      </c>
      <c r="C497" s="2" t="inlineStr">
        <is>
          <t>Anexa 12 - Metoda necesarului de finanțare entitati private(funding-gap).xlsx</t>
        </is>
      </c>
      <c r="D497" s="2" t="inlineStr">
        <is>
          <t>.xlsx</t>
        </is>
      </c>
      <c r="E497" s="2" t="n">
        <v>217209</v>
      </c>
      <c r="F497" s="2" t="inlineStr">
        <is>
          <t>2026-06-25T14:44:29</t>
        </is>
      </c>
      <c r="G497" s="2" t="inlineStr">
        <is>
          <t>valori Excel; fără obiecte încorporate</t>
        </is>
      </c>
      <c r="H497" s="2" t="inlineStr"/>
    </row>
    <row r="498">
      <c r="A498" s="2" t="inlineStr">
        <is>
          <t>\\192.168.100.169\Comun\00. Proiecte 2026</t>
        </is>
      </c>
      <c r="B498" s="2" t="inlineStr">
        <is>
          <t>\\192.168.100.169\Comun\00. Proiecte 2026\9999. 2026.07.03 - P6 TRANZITIA FORTEI DE MUNCA\1. DOCUMENTE OFICIALE\Anexa 13 - Model orientativ de hotărâre de aprobare a proiectului.docx</t>
        </is>
      </c>
      <c r="C498" s="2" t="inlineStr">
        <is>
          <t>Anexa 13 - Model orientativ de hotărâre de aprobare a proiectului.docx</t>
        </is>
      </c>
      <c r="D498" s="2" t="inlineStr">
        <is>
          <t>.docx</t>
        </is>
      </c>
      <c r="E498" s="2" t="n">
        <v>122456</v>
      </c>
      <c r="F498" s="2" t="inlineStr">
        <is>
          <t>2026-06-25T14:44:29</t>
        </is>
      </c>
      <c r="G498" s="2" t="inlineStr">
        <is>
          <t>text Word integral</t>
        </is>
      </c>
      <c r="H498" s="2" t="inlineStr"/>
    </row>
    <row r="499">
      <c r="A499" s="2" t="inlineStr">
        <is>
          <t>\\192.168.100.169\Comun\00. Proiecte 2026</t>
        </is>
      </c>
      <c r="B499" s="2" t="inlineStr">
        <is>
          <t>\\192.168.100.169\Comun\00. Proiecte 2026\9999. 2026.07.03 - P6 TRANZITIA FORTEI DE MUNCA\1. DOCUMENTE OFICIALE\Anexa 14 - Acord de parteneriat.doc</t>
        </is>
      </c>
      <c r="C499" s="2" t="inlineStr">
        <is>
          <t>Anexa 14 - Acord de parteneriat.doc</t>
        </is>
      </c>
      <c r="D499" s="2" t="inlineStr">
        <is>
          <t>.doc</t>
        </is>
      </c>
      <c r="E499" s="2" t="n">
        <v>198656</v>
      </c>
      <c r="F499" s="2" t="inlineStr">
        <is>
          <t>2026-06-25T14:44:29</t>
        </is>
      </c>
      <c r="G499" s="2" t="inlineStr">
        <is>
          <t>format non analysé</t>
        </is>
      </c>
      <c r="H499" s="2" t="inlineStr"/>
    </row>
    <row r="500">
      <c r="A500" s="2" t="inlineStr">
        <is>
          <t>\\192.168.100.169\Comun\00. Proiecte 2026</t>
        </is>
      </c>
      <c r="B500" s="2" t="inlineStr">
        <is>
          <t>\\192.168.100.169\Comun\00. Proiecte 2026\9999. 2026.07.03 - P6 TRANZITIA FORTEI DE MUNCA\1. DOCUMENTE OFICIALE\Anexa 15 - Lista de echipamente _servicii.docx</t>
        </is>
      </c>
      <c r="C500" s="2" t="inlineStr">
        <is>
          <t>Anexa 15 - Lista de echipamente _servicii.docx</t>
        </is>
      </c>
      <c r="D500" s="2" t="inlineStr">
        <is>
          <t>.docx</t>
        </is>
      </c>
      <c r="E500" s="2" t="n">
        <v>117510</v>
      </c>
      <c r="F500" s="2" t="inlineStr">
        <is>
          <t>2026-06-25T14:44:29</t>
        </is>
      </c>
      <c r="G500" s="2" t="inlineStr">
        <is>
          <t>text Word integral</t>
        </is>
      </c>
      <c r="H500" s="2" t="inlineStr"/>
    </row>
    <row r="501">
      <c r="A501" s="2" t="inlineStr">
        <is>
          <t>\\192.168.100.169\Comun\00. Proiecte 2026</t>
        </is>
      </c>
      <c r="B501" s="2" t="inlineStr">
        <is>
          <t>\\192.168.100.169\Comun\00. Proiecte 2026\9999. 2026.07.03 - P6 TRANZITIA FORTEI DE MUNCA\1. DOCUMENTE OFICIALE\Anexa 16_Declaratie privind eligibilitatea TVA.doc</t>
        </is>
      </c>
      <c r="C501" s="2" t="inlineStr">
        <is>
          <t>Anexa 16_Declaratie privind eligibilitatea TVA.doc</t>
        </is>
      </c>
      <c r="D501" s="2" t="inlineStr">
        <is>
          <t>.doc</t>
        </is>
      </c>
      <c r="E501" s="2" t="n">
        <v>89088</v>
      </c>
      <c r="F501" s="2" t="inlineStr">
        <is>
          <t>2026-06-25T14:44:30</t>
        </is>
      </c>
      <c r="G501" s="2" t="inlineStr">
        <is>
          <t>format non analysé</t>
        </is>
      </c>
      <c r="H501" s="2" t="inlineStr"/>
    </row>
    <row r="502">
      <c r="A502" s="2" t="inlineStr">
        <is>
          <t>\\192.168.100.169\Comun\00. Proiecte 2026</t>
        </is>
      </c>
      <c r="B502" s="2" t="inlineStr">
        <is>
          <t>\\192.168.100.169\Comun\00. Proiecte 2026\9999. 2026.07.03 - P6 TRANZITIA FORTEI DE MUNCA\1. DOCUMENTE OFICIALE\Anexa 1_Model  plan de comunicare.docx</t>
        </is>
      </c>
      <c r="C502" s="2" t="inlineStr">
        <is>
          <t>Anexa 1_Model  plan de comunicare.docx</t>
        </is>
      </c>
      <c r="D502" s="2" t="inlineStr">
        <is>
          <t>.docx</t>
        </is>
      </c>
      <c r="E502" s="2" t="n">
        <v>115055</v>
      </c>
      <c r="F502" s="2" t="inlineStr">
        <is>
          <t>2026-06-25T14:44:26</t>
        </is>
      </c>
      <c r="G502" s="2" t="inlineStr">
        <is>
          <t>text Word integral</t>
        </is>
      </c>
      <c r="H502" s="2" t="inlineStr"/>
    </row>
    <row r="503">
      <c r="A503" s="2" t="inlineStr">
        <is>
          <t>\\192.168.100.169\Comun\00. Proiecte 2026</t>
        </is>
      </c>
      <c r="B503" s="2" t="inlineStr">
        <is>
          <t>\\192.168.100.169\Comun\00. Proiecte 2026\9999. 2026.07.03 - P6 TRANZITIA FORTEI DE MUNCA\1. DOCUMENTE OFICIALE\Anexa 2 Model Cererea de  Finantare_alti furnizori.docx</t>
        </is>
      </c>
      <c r="C503" s="2" t="inlineStr">
        <is>
          <t>Anexa 2 Model Cererea de  Finantare_alti furnizori.docx</t>
        </is>
      </c>
      <c r="D503" s="2" t="inlineStr">
        <is>
          <t>.docx</t>
        </is>
      </c>
      <c r="E503" s="2" t="n">
        <v>159428</v>
      </c>
      <c r="F503" s="2" t="inlineStr">
        <is>
          <t>2026-06-25T14:44:26</t>
        </is>
      </c>
      <c r="G503" s="2" t="inlineStr">
        <is>
          <t>text Word integral</t>
        </is>
      </c>
      <c r="H503" s="2" t="inlineStr"/>
    </row>
    <row r="504">
      <c r="A504" s="2" t="inlineStr">
        <is>
          <t>\\192.168.100.169\Comun\00. Proiecte 2026</t>
        </is>
      </c>
      <c r="B504" s="2" t="inlineStr">
        <is>
          <t>\\192.168.100.169\Comun\00. Proiecte 2026\9999. 2026.07.03 - P6 TRANZITIA FORTEI DE MUNCA\1. DOCUMENTE OFICIALE\Anexa 3_ Declaratia unica.docx</t>
        </is>
      </c>
      <c r="C504" s="2" t="inlineStr">
        <is>
          <t>Anexa 3_ Declaratia unica.docx</t>
        </is>
      </c>
      <c r="D504" s="2" t="inlineStr">
        <is>
          <t>.docx</t>
        </is>
      </c>
      <c r="E504" s="2" t="n">
        <v>128262</v>
      </c>
      <c r="F504" s="2" t="inlineStr">
        <is>
          <t>2026-06-25T14:44:26</t>
        </is>
      </c>
      <c r="G504" s="2" t="inlineStr">
        <is>
          <t>text Word integral</t>
        </is>
      </c>
      <c r="H504" s="2" t="inlineStr"/>
    </row>
    <row r="505">
      <c r="A505" s="2" t="inlineStr">
        <is>
          <t>\\192.168.100.169\Comun\00. Proiecte 2026</t>
        </is>
      </c>
      <c r="B505" s="2" t="inlineStr">
        <is>
          <t>\\192.168.100.169\Comun\00. Proiecte 2026\9999. 2026.07.03 - P6 TRANZITIA FORTEI DE MUNCA\1. DOCUMENTE OFICIALE\Anexa 4 Lista autoevaluare DNSH.docx</t>
        </is>
      </c>
      <c r="C505" s="2" t="inlineStr">
        <is>
          <t>Anexa 4 Lista autoevaluare DNSH.docx</t>
        </is>
      </c>
      <c r="D505" s="2" t="inlineStr">
        <is>
          <t>.docx</t>
        </is>
      </c>
      <c r="E505" s="2" t="n">
        <v>116788</v>
      </c>
      <c r="F505" s="2" t="inlineStr">
        <is>
          <t>2026-06-25T14:44:27</t>
        </is>
      </c>
      <c r="G505" s="2" t="inlineStr">
        <is>
          <t>text Word integral</t>
        </is>
      </c>
      <c r="H505" s="2" t="inlineStr"/>
    </row>
    <row r="506">
      <c r="A506" s="2" t="inlineStr">
        <is>
          <t>\\192.168.100.169\Comun\00. Proiecte 2026</t>
        </is>
      </c>
      <c r="B506" s="2" t="inlineStr">
        <is>
          <t>\\192.168.100.169\Comun\00. Proiecte 2026\9999. 2026.07.03 - P6 TRANZITIA FORTEI DE MUNCA\1. DOCUMENTE OFICIALE\Anexa 5 Metodologie-Lista auto-evaluare_DNSH.docx</t>
        </is>
      </c>
      <c r="C506" s="2" t="inlineStr">
        <is>
          <t>Anexa 5 Metodologie-Lista auto-evaluare_DNSH.docx</t>
        </is>
      </c>
      <c r="D506" s="2" t="inlineStr">
        <is>
          <t>.docx</t>
        </is>
      </c>
      <c r="E506" s="2" t="n">
        <v>130014</v>
      </c>
      <c r="F506" s="2" t="inlineStr">
        <is>
          <t>2026-06-25T14:44:27</t>
        </is>
      </c>
      <c r="G506" s="2" t="inlineStr">
        <is>
          <t>text Word integral</t>
        </is>
      </c>
      <c r="H506" s="2" t="inlineStr"/>
    </row>
    <row r="507">
      <c r="A507" s="2" t="inlineStr">
        <is>
          <t>\\192.168.100.169\Comun\00. Proiecte 2026</t>
        </is>
      </c>
      <c r="B507" s="2" t="inlineStr">
        <is>
          <t>\\192.168.100.169\Comun\00. Proiecte 2026\9999. 2026.07.03 - P6 TRANZITIA FORTEI DE MUNCA\1. DOCUMENTE OFICIALE\Anexa 6 - Consimtamant privind prelucrarea datelor cu caracter personal.docx</t>
        </is>
      </c>
      <c r="C507" s="2" t="inlineStr">
        <is>
          <t>Anexa 6 - Consimtamant privind prelucrarea datelor cu caracter personal.docx</t>
        </is>
      </c>
      <c r="D507" s="2" t="inlineStr">
        <is>
          <t>.docx</t>
        </is>
      </c>
      <c r="E507" s="2" t="n">
        <v>107711</v>
      </c>
      <c r="F507" s="2" t="inlineStr">
        <is>
          <t>2026-06-25T14:44:27</t>
        </is>
      </c>
      <c r="G507" s="2" t="inlineStr">
        <is>
          <t>text Word integral</t>
        </is>
      </c>
      <c r="H507" s="2" t="inlineStr"/>
    </row>
    <row r="508">
      <c r="A508" s="2" t="inlineStr">
        <is>
          <t>\\192.168.100.169\Comun\00. Proiecte 2026</t>
        </is>
      </c>
      <c r="B508" s="2" t="inlineStr">
        <is>
          <t>\\192.168.100.169\Comun\00. Proiecte 2026\9999. 2026.07.03 - P6 TRANZITIA FORTEI DE MUNCA\1. DOCUMENTE OFICIALE\Anexa 7 Raport privind rezonabilitatea costurilor.docx</t>
        </is>
      </c>
      <c r="C508" s="2" t="inlineStr">
        <is>
          <t>Anexa 7 Raport privind rezonabilitatea costurilor.docx</t>
        </is>
      </c>
      <c r="D508" s="2" t="inlineStr">
        <is>
          <t>.docx</t>
        </is>
      </c>
      <c r="E508" s="2" t="n">
        <v>116878</v>
      </c>
      <c r="F508" s="2" t="inlineStr">
        <is>
          <t>2026-06-25T14:44:27</t>
        </is>
      </c>
      <c r="G508" s="2" t="inlineStr">
        <is>
          <t>text Word integral</t>
        </is>
      </c>
      <c r="H508" s="2" t="inlineStr"/>
    </row>
    <row r="509">
      <c r="A509" s="2" t="inlineStr">
        <is>
          <t>\\192.168.100.169\Comun\00. Proiecte 2026</t>
        </is>
      </c>
      <c r="B509" s="2" t="inlineStr">
        <is>
          <t>\\192.168.100.169\Comun\00. Proiecte 2026\9999. 2026.07.03 - P6 TRANZITIA FORTEI DE MUNCA\1. DOCUMENTE OFICIALE\Anexa 8- Plan monitorizare al proiectului.doc</t>
        </is>
      </c>
      <c r="C509" s="2" t="inlineStr">
        <is>
          <t>Anexa 8- Plan monitorizare al proiectului.doc</t>
        </is>
      </c>
      <c r="D509" s="2" t="inlineStr">
        <is>
          <t>.doc</t>
        </is>
      </c>
      <c r="E509" s="2" t="n">
        <v>172544</v>
      </c>
      <c r="F509" s="2" t="inlineStr">
        <is>
          <t>2026-06-25T14:44:28</t>
        </is>
      </c>
      <c r="G509" s="2" t="inlineStr">
        <is>
          <t>format non analysé</t>
        </is>
      </c>
      <c r="H509" s="2" t="inlineStr"/>
    </row>
    <row r="510">
      <c r="A510" s="2" t="inlineStr">
        <is>
          <t>\\192.168.100.169\Comun\00. Proiecte 2026</t>
        </is>
      </c>
      <c r="B510" s="2" t="inlineStr">
        <is>
          <t>\\192.168.100.169\Comun\00. Proiecte 2026\9999. 2026.07.03 - P6 TRANZITIA FORTEI DE MUNCA\1. DOCUMENTE OFICIALE\Anexa 9  - Grila de evaluare tehnică și financiară.docx</t>
        </is>
      </c>
      <c r="C510" s="2" t="inlineStr">
        <is>
          <t>Anexa 9  - Grila de evaluare tehnică și financiară.docx</t>
        </is>
      </c>
      <c r="D510" s="2" t="inlineStr">
        <is>
          <t>.docx</t>
        </is>
      </c>
      <c r="E510" s="2" t="n">
        <v>158026</v>
      </c>
      <c r="F510" s="2" t="inlineStr">
        <is>
          <t>2026-06-25T14:44:28</t>
        </is>
      </c>
      <c r="G510" s="2" t="inlineStr">
        <is>
          <t>text Word integral</t>
        </is>
      </c>
      <c r="H510" s="2" t="inlineStr"/>
    </row>
    <row r="511">
      <c r="A511" s="2" t="inlineStr">
        <is>
          <t>\\192.168.100.169\Comun\00. Proiecte 2026</t>
        </is>
      </c>
      <c r="B511" s="2" t="inlineStr">
        <is>
          <t>\\192.168.100.169\Comun\00. Proiecte 2026\9999. 2026.07.03 - P6 TRANZITIA FORTEI DE MUNCA\1. DOCUMENTE OFICIALE\Ghidul solicitantului_Alti furnizori acreditati.docx</t>
        </is>
      </c>
      <c r="C511" s="2" t="inlineStr">
        <is>
          <t>Ghidul solicitantului_Alti furnizori acreditati.docx</t>
        </is>
      </c>
      <c r="D511" s="2" t="inlineStr">
        <is>
          <t>.docx</t>
        </is>
      </c>
      <c r="E511" s="2" t="n">
        <v>318781</v>
      </c>
      <c r="F511" s="2" t="inlineStr">
        <is>
          <t>2026-06-25T14:44:30</t>
        </is>
      </c>
      <c r="G511" s="2" t="inlineStr">
        <is>
          <t>text Word integral</t>
        </is>
      </c>
      <c r="H511" s="2" t="inlineStr"/>
    </row>
    <row r="512">
      <c r="A512" s="2" t="inlineStr">
        <is>
          <t>\\192.168.100.169\Comun\00. Proiecte 2026</t>
        </is>
      </c>
      <c r="B512" s="2" t="inlineStr">
        <is>
          <t>\\192.168.100.169\Comun\00. Proiecte 2026\9999. 2026.07.03 - P6 TRANZITIA FORTEI DE MUNCA\1. DOCUMENTE OFICIALE\~$idul solicitantului_Alti furnizori acreditati.docx</t>
        </is>
      </c>
      <c r="C512" s="2" t="inlineStr">
        <is>
          <t>~$idul solicitantului_Alti furnizori acreditati.docx</t>
        </is>
      </c>
      <c r="D512" s="2" t="inlineStr">
        <is>
          <t>.docx</t>
        </is>
      </c>
      <c r="E512" s="2" t="n">
        <v>162</v>
      </c>
      <c r="F512" s="2" t="inlineStr">
        <is>
          <t>2026-07-09T15:38:30</t>
        </is>
      </c>
      <c r="G512" s="2" t="inlineStr">
        <is>
          <t>eroare: File is not a zip file</t>
        </is>
      </c>
      <c r="H512" s="2" t="inlineStr"/>
    </row>
    <row r="513">
      <c r="A513" s="2" t="inlineStr">
        <is>
          <t>\\192.168.100.169\Comun\00. Proiecte 2026</t>
        </is>
      </c>
      <c r="B513" s="2" t="inlineStr">
        <is>
          <t>\\192.168.100.169\Comun\00. Proiecte 2026\9999. 2026.07.03 - P6 TRANZITIA FORTEI DE MUNCA\P1. Rose - RECONECT Mureș\000_RECONECT-Mures_ROADMAP-MASTER.md</t>
        </is>
      </c>
      <c r="C513" s="2" t="inlineStr">
        <is>
          <t>000_RECONECT-Mures_ROADMAP-MASTER.md</t>
        </is>
      </c>
      <c r="D513" s="2" t="inlineStr">
        <is>
          <t>.md</t>
        </is>
      </c>
      <c r="E513" s="2" t="n">
        <v>14610</v>
      </c>
      <c r="F513" s="2" t="inlineStr">
        <is>
          <t>2026-07-08T17:31:08</t>
        </is>
      </c>
      <c r="G513" s="2" t="inlineStr">
        <is>
          <t>text integral</t>
        </is>
      </c>
      <c r="H513" s="2" t="inlineStr">
        <is>
          <t>echizite, curățenie, internet, telefon  ### Subvenții / Sprijin participanți - Subvenție participare: 200 EUR/participant × 150 = 30.000 EUR - Transport: 120 EUR/participant × 150 = 18.000 EUR - Masă: 8 EUR/zi × 2.400 participant-zile = 19.200 EUR - Îngrijire copii: 300 EUR × 20 participanți = 6.000 EUR - **Total sprijin:** 73.2</t>
        </is>
      </c>
    </row>
    <row r="514">
      <c r="A514" s="2" t="inlineStr">
        <is>
          <t>\\192.168.100.169\Comun\00. Proiecte 2026</t>
        </is>
      </c>
      <c r="B514" s="2" t="inlineStr">
        <is>
          <t>\\192.168.100.169\Comun\00. Proiecte 2026\9999. 2026.07.03 - P6 TRANZITIA FORTEI DE MUNCA\P1. Rose - RECONECT Mureș\001_RECONECT-Mures_Cerere-Finantare.docx</t>
        </is>
      </c>
      <c r="C514" s="2" t="inlineStr">
        <is>
          <t>001_RECONECT-Mures_Cerere-Finantare.docx</t>
        </is>
      </c>
      <c r="D514" s="2" t="inlineStr">
        <is>
          <t>.docx</t>
        </is>
      </c>
      <c r="E514" s="2" t="n">
        <v>51429</v>
      </c>
      <c r="F514" s="2" t="inlineStr">
        <is>
          <t>2026-07-09T09:57:34</t>
        </is>
      </c>
      <c r="G514" s="2" t="inlineStr">
        <is>
          <t>text Word integral</t>
        </is>
      </c>
      <c r="H514" s="2" t="inlineStr"/>
    </row>
    <row r="515">
      <c r="A515" s="2" t="inlineStr">
        <is>
          <t>\\192.168.100.169\Comun\00. Proiecte 2026</t>
        </is>
      </c>
      <c r="B515" s="2" t="inlineStr">
        <is>
          <t>\\192.168.100.169\Comun\00. Proiecte 2026\9999. 2026.07.03 - P6 TRANZITIA FORTEI DE MUNCA\P1. Rose - RECONECT Mureș\002_RECONECT-Mures_Declaratie-Unica.docx</t>
        </is>
      </c>
      <c r="C515" s="2" t="inlineStr">
        <is>
          <t>002_RECONECT-Mures_Declaratie-Unica.docx</t>
        </is>
      </c>
      <c r="D515" s="2" t="inlineStr">
        <is>
          <t>.docx</t>
        </is>
      </c>
      <c r="E515" s="2" t="n">
        <v>38246</v>
      </c>
      <c r="F515" s="2" t="inlineStr">
        <is>
          <t>2026-07-09T10:13:18</t>
        </is>
      </c>
      <c r="G515" s="2" t="inlineStr">
        <is>
          <t>text Word integral</t>
        </is>
      </c>
      <c r="H515" s="2" t="inlineStr"/>
    </row>
    <row r="516">
      <c r="A516" s="2" t="inlineStr">
        <is>
          <t>\\192.168.100.169\Comun\00. Proiecte 2026</t>
        </is>
      </c>
      <c r="B516" s="2" t="inlineStr">
        <is>
          <t>\\192.168.100.169\Comun\00. Proiecte 2026\9999. 2026.07.03 - P6 TRANZITIA FORTEI DE MUNCA\P1. Rose - RECONECT Mureș\003_RECONECT-Mures_Autoevaluare-DNSH.docx</t>
        </is>
      </c>
      <c r="C516" s="2" t="inlineStr">
        <is>
          <t>003_RECONECT-Mures_Autoevaluare-DNSH.docx</t>
        </is>
      </c>
      <c r="D516" s="2" t="inlineStr">
        <is>
          <t>.docx</t>
        </is>
      </c>
      <c r="E516" s="2" t="n">
        <v>38822</v>
      </c>
      <c r="F516" s="2" t="inlineStr">
        <is>
          <t>2026-07-09T10:13:18</t>
        </is>
      </c>
      <c r="G516" s="2" t="inlineStr">
        <is>
          <t>text Word integral</t>
        </is>
      </c>
      <c r="H516" s="2" t="inlineStr"/>
    </row>
    <row r="517">
      <c r="A517" s="2" t="inlineStr">
        <is>
          <t>\\192.168.100.169\Comun\00. Proiecte 2026</t>
        </is>
      </c>
      <c r="B517" s="2" t="inlineStr">
        <is>
          <t>\\192.168.100.169\Comun\00. Proiecte 2026\9999. 2026.07.03 - P6 TRANZITIA FORTEI DE MUNCA\P1. Rose - RECONECT Mureș\004_RECONECT-Mures_Metodologie-DNSH.docx</t>
        </is>
      </c>
      <c r="C517" s="2" t="inlineStr">
        <is>
          <t>004_RECONECT-Mures_Metodologie-DNSH.docx</t>
        </is>
      </c>
      <c r="D517" s="2" t="inlineStr">
        <is>
          <t>.docx</t>
        </is>
      </c>
      <c r="E517" s="2" t="n">
        <v>38169</v>
      </c>
      <c r="F517" s="2" t="inlineStr">
        <is>
          <t>2026-07-09T10:13:18</t>
        </is>
      </c>
      <c r="G517" s="2" t="inlineStr">
        <is>
          <t>text Word integral</t>
        </is>
      </c>
      <c r="H517" s="2" t="inlineStr"/>
    </row>
    <row r="518">
      <c r="A518" s="2" t="inlineStr">
        <is>
          <t>\\192.168.100.169\Comun\00. Proiecte 2026</t>
        </is>
      </c>
      <c r="B518" s="2" t="inlineStr">
        <is>
          <t>\\192.168.100.169\Comun\00. Proiecte 2026\9999. 2026.07.03 - P6 TRANZITIA FORTEI DE MUNCA\P1. Rose - RECONECT Mureș\005_RECONECT-Mures_Consimtamant-GDPR.docx</t>
        </is>
      </c>
      <c r="C518" s="2" t="inlineStr">
        <is>
          <t>005_RECONECT-Mures_Consimtamant-GDPR.docx</t>
        </is>
      </c>
      <c r="D518" s="2" t="inlineStr">
        <is>
          <t>.docx</t>
        </is>
      </c>
      <c r="E518" s="2" t="n">
        <v>37953</v>
      </c>
      <c r="F518" s="2" t="inlineStr">
        <is>
          <t>2026-07-09T10:13:20</t>
        </is>
      </c>
      <c r="G518" s="2" t="inlineStr">
        <is>
          <t>text Word integral</t>
        </is>
      </c>
      <c r="H518" s="2" t="inlineStr"/>
    </row>
    <row r="519">
      <c r="A519" s="2" t="inlineStr">
        <is>
          <t>\\192.168.100.169\Comun\00. Proiecte 2026</t>
        </is>
      </c>
      <c r="B519" s="2" t="inlineStr">
        <is>
          <t>\\192.168.100.169\Comun\00. Proiecte 2026\9999. 2026.07.03 - P6 TRANZITIA FORTEI DE MUNCA\P1. Rose - RECONECT Mureș\006_RECONECT-Mures_Raport-Rezonabilitate-Costuri.docx</t>
        </is>
      </c>
      <c r="C519" s="2" t="inlineStr">
        <is>
          <t>006_RECONECT-Mures_Raport-Rezonabilitate-Costuri.docx</t>
        </is>
      </c>
      <c r="D519" s="2" t="inlineStr">
        <is>
          <t>.docx</t>
        </is>
      </c>
      <c r="E519" s="2" t="n">
        <v>38782</v>
      </c>
      <c r="F519" s="2" t="inlineStr">
        <is>
          <t>2026-07-09T10:13:20</t>
        </is>
      </c>
      <c r="G519" s="2" t="inlineStr">
        <is>
          <t>text Word integral</t>
        </is>
      </c>
      <c r="H519" s="2" t="inlineStr"/>
    </row>
    <row r="520">
      <c r="A520" s="2" t="inlineStr">
        <is>
          <t>\\192.168.100.169\Comun\00. Proiecte 2026</t>
        </is>
      </c>
      <c r="B520" s="2" t="inlineStr">
        <is>
          <t>\\192.168.100.169\Comun\00. Proiecte 2026\9999. 2026.07.03 - P6 TRANZITIA FORTEI DE MUNCA\P1. Rose - RECONECT Mureș\007_RECONECT-Mures_Plan-Monitorizare.docx</t>
        </is>
      </c>
      <c r="C520" s="2" t="inlineStr">
        <is>
          <t>007_RECONECT-Mures_Plan-Monitorizare.docx</t>
        </is>
      </c>
      <c r="D520" s="2" t="inlineStr">
        <is>
          <t>.docx</t>
        </is>
      </c>
      <c r="E520" s="2" t="n">
        <v>38818</v>
      </c>
      <c r="F520" s="2" t="inlineStr">
        <is>
          <t>2026-07-09T10:13:20</t>
        </is>
      </c>
      <c r="G520" s="2" t="inlineStr">
        <is>
          <t>text Word integral</t>
        </is>
      </c>
      <c r="H520" s="2" t="inlineStr"/>
    </row>
    <row r="521">
      <c r="A521" s="2" t="inlineStr">
        <is>
          <t>\\192.168.100.169\Comun\00. Proiecte 2026</t>
        </is>
      </c>
      <c r="B521" s="2" t="inlineStr">
        <is>
          <t>\\192.168.100.169\Comun\00. Proiecte 2026\9999. 2026.07.03 - P6 TRANZITIA FORTEI DE MUNCA\P1. Rose - RECONECT Mureș\008_RECONECT-Mures_Plan-Comunicare.docx</t>
        </is>
      </c>
      <c r="C521" s="2" t="inlineStr">
        <is>
          <t>008_RECONECT-Mures_Plan-Comunicare.docx</t>
        </is>
      </c>
      <c r="D521" s="2" t="inlineStr">
        <is>
          <t>.docx</t>
        </is>
      </c>
      <c r="E521" s="2" t="n">
        <v>38676</v>
      </c>
      <c r="F521" s="2" t="inlineStr">
        <is>
          <t>2026-07-09T10:13:20</t>
        </is>
      </c>
      <c r="G521" s="2" t="inlineStr">
        <is>
          <t>text Word integral</t>
        </is>
      </c>
      <c r="H521" s="2" t="inlineStr"/>
    </row>
    <row r="522">
      <c r="A522" s="2" t="inlineStr">
        <is>
          <t>\\192.168.100.169\Comun\00. Proiecte 2026</t>
        </is>
      </c>
      <c r="B522" s="2" t="inlineStr">
        <is>
          <t>\\192.168.100.169\Comun\00. Proiecte 2026\9999. 2026.07.03 - P6 TRANZITIA FORTEI DE MUNCA\P1. Rose - RECONECT Mureș\009_RECONECT-Mures_Eligibilitate-TVA.docx</t>
        </is>
      </c>
      <c r="C522" s="2" t="inlineStr">
        <is>
          <t>009_RECONECT-Mures_Eligibilitate-TVA.docx</t>
        </is>
      </c>
      <c r="D522" s="2" t="inlineStr">
        <is>
          <t>.docx</t>
        </is>
      </c>
      <c r="E522" s="2" t="n">
        <v>37602</v>
      </c>
      <c r="F522" s="2" t="inlineStr">
        <is>
          <t>2026-07-09T10:13:20</t>
        </is>
      </c>
      <c r="G522" s="2" t="inlineStr">
        <is>
          <t>text Word integral</t>
        </is>
      </c>
      <c r="H522" s="2" t="inlineStr"/>
    </row>
    <row r="523">
      <c r="A523" s="2" t="inlineStr">
        <is>
          <t>\\192.168.100.169\Comun\00. Proiecte 2026</t>
        </is>
      </c>
      <c r="B523" s="2" t="inlineStr">
        <is>
          <t>\\192.168.100.169\Comun\00. Proiecte 2026\9999. 2026.07.03 - P6 TRANZITIA FORTEI DE MUNCA\P1. Rose - RECONECT Mureș\010_RECONECT-Mures_Acord-Parteneriat.docx</t>
        </is>
      </c>
      <c r="C523" s="2" t="inlineStr">
        <is>
          <t>010_RECONECT-Mures_Acord-Parteneriat.docx</t>
        </is>
      </c>
      <c r="D523" s="2" t="inlineStr">
        <is>
          <t>.docx</t>
        </is>
      </c>
      <c r="E523" s="2" t="n">
        <v>38086</v>
      </c>
      <c r="F523" s="2" t="inlineStr">
        <is>
          <t>2026-07-09T10:13:20</t>
        </is>
      </c>
      <c r="G523" s="2" t="inlineStr">
        <is>
          <t>text Word integral</t>
        </is>
      </c>
      <c r="H523" s="2" t="inlineStr"/>
    </row>
    <row r="524">
      <c r="A524" s="2" t="inlineStr">
        <is>
          <t>\\192.168.100.169\Comun\00. Proiecte 2026</t>
        </is>
      </c>
      <c r="B524" s="2" t="inlineStr">
        <is>
          <t>\\192.168.100.169\Comun\00. Proiecte 2026\9999. 2026.07.03 - P6 TRANZITIA FORTEI DE MUNCA\P1. Rose - RECONECT Mureș\011_RECONECT-Mures_Profil-Partener-1.docx</t>
        </is>
      </c>
      <c r="C524" s="2" t="inlineStr">
        <is>
          <t>011_RECONECT-Mures_Profil-Partener-1.docx</t>
        </is>
      </c>
      <c r="D524" s="2" t="inlineStr">
        <is>
          <t>.docx</t>
        </is>
      </c>
      <c r="E524" s="2" t="n">
        <v>37438</v>
      </c>
      <c r="F524" s="2" t="inlineStr">
        <is>
          <t>2026-07-09T10:13:20</t>
        </is>
      </c>
      <c r="G524" s="2" t="inlineStr">
        <is>
          <t>text Word integral</t>
        </is>
      </c>
      <c r="H524" s="2" t="inlineStr"/>
    </row>
    <row r="525">
      <c r="A525" s="2" t="inlineStr">
        <is>
          <t>\\192.168.100.169\Comun\00. Proiecte 2026</t>
        </is>
      </c>
      <c r="B525" s="2" t="inlineStr">
        <is>
          <t>\\192.168.100.169\Comun\00. Proiecte 2026\9999. 2026.07.03 - P6 TRANZITIA FORTEI DE MUNCA\P1. Rose - RECONECT Mureș\012_RECONECT-Mures_Profil-Partener-2.docx</t>
        </is>
      </c>
      <c r="C525" s="2" t="inlineStr">
        <is>
          <t>012_RECONECT-Mures_Profil-Partener-2.docx</t>
        </is>
      </c>
      <c r="D525" s="2" t="inlineStr">
        <is>
          <t>.docx</t>
        </is>
      </c>
      <c r="E525" s="2" t="n">
        <v>37439</v>
      </c>
      <c r="F525" s="2" t="inlineStr">
        <is>
          <t>2026-07-09T10:13:20</t>
        </is>
      </c>
      <c r="G525" s="2" t="inlineStr">
        <is>
          <t>text Word integral</t>
        </is>
      </c>
      <c r="H525" s="2" t="inlineStr"/>
    </row>
    <row r="526">
      <c r="A526" s="2" t="inlineStr">
        <is>
          <t>\\192.168.100.169\Comun\00. Proiecte 2026</t>
        </is>
      </c>
      <c r="B526" s="2" t="inlineStr">
        <is>
          <t>\\192.168.100.169\Comun\00. Proiecte 2026\9999. 2026.07.03 - P6 TRANZITIA FORTEI DE MUNCA\P1. Rose - RECONECT Mureș\020_RECONECT-Mures_Analiza-Nevoi.docx</t>
        </is>
      </c>
      <c r="C526" s="2" t="inlineStr">
        <is>
          <t>020_RECONECT-Mures_Analiza-Nevoi.docx</t>
        </is>
      </c>
      <c r="D526" s="2" t="inlineStr">
        <is>
          <t>.docx</t>
        </is>
      </c>
      <c r="E526" s="2" t="n">
        <v>38327</v>
      </c>
      <c r="F526" s="2" t="inlineStr">
        <is>
          <t>2026-07-09T10:13:20</t>
        </is>
      </c>
      <c r="G526" s="2" t="inlineStr">
        <is>
          <t>text Word integral</t>
        </is>
      </c>
      <c r="H526" s="2" t="inlineStr"/>
    </row>
    <row r="527">
      <c r="A527" s="2" t="inlineStr">
        <is>
          <t>\\192.168.100.169\Comun\00. Proiecte 2026</t>
        </is>
      </c>
      <c r="B527" s="2" t="inlineStr">
        <is>
          <t>\\192.168.100.169\Comun\00. Proiecte 2026\9999. 2026.07.03 - P6 TRANZITIA FORTEI DE MUNCA\P1. Rose - RECONECT Mureș\021_RECONECT-Mures_Metodologie-Implementare.docx</t>
        </is>
      </c>
      <c r="C527" s="2" t="inlineStr">
        <is>
          <t>021_RECONECT-Mures_Metodologie-Implementare.docx</t>
        </is>
      </c>
      <c r="D527" s="2" t="inlineStr">
        <is>
          <t>.docx</t>
        </is>
      </c>
      <c r="E527" s="2" t="n">
        <v>39214</v>
      </c>
      <c r="F527" s="2" t="inlineStr">
        <is>
          <t>2026-07-09T10:13:20</t>
        </is>
      </c>
      <c r="G527" s="2" t="inlineStr">
        <is>
          <t>text Word integral</t>
        </is>
      </c>
      <c r="H527" s="2" t="inlineStr"/>
    </row>
    <row r="528">
      <c r="A528" s="2" t="inlineStr">
        <is>
          <t>\\192.168.100.169\Comun\00. Proiecte 2026</t>
        </is>
      </c>
      <c r="B528" s="2" t="inlineStr">
        <is>
          <t>\\192.168.100.169\Comun\00. Proiecte 2026\9999. 2026.07.03 - P6 TRANZITIA FORTEI DE MUNCA\P1. Rose - RECONECT Mureș\022_RECONECT-Mures_Calendar-Activitati.docx</t>
        </is>
      </c>
      <c r="C528" s="2" t="inlineStr">
        <is>
          <t>022_RECONECT-Mures_Calendar-Activitati.docx</t>
        </is>
      </c>
      <c r="D528" s="2" t="inlineStr">
        <is>
          <t>.docx</t>
        </is>
      </c>
      <c r="E528" s="2" t="n">
        <v>38315</v>
      </c>
      <c r="F528" s="2" t="inlineStr">
        <is>
          <t>2026-07-09T10:13:20</t>
        </is>
      </c>
      <c r="G528" s="2" t="inlineStr">
        <is>
          <t>text Word integral</t>
        </is>
      </c>
      <c r="H528" s="2" t="inlineStr"/>
    </row>
    <row r="529">
      <c r="A529" s="2" t="inlineStr">
        <is>
          <t>\\192.168.100.169\Comun\00. Proiecte 2026</t>
        </is>
      </c>
      <c r="B529" s="2" t="inlineStr">
        <is>
          <t>\\192.168.100.169\Comun\00. Proiecte 2026\9999. 2026.07.03 - P6 TRANZITIA FORTEI DE MUNCA\P1. Rose - RECONECT Mureș\023_RECONECT-Mures_Descriere-Activitati.docx</t>
        </is>
      </c>
      <c r="C529" s="2" t="inlineStr">
        <is>
          <t>023_RECONECT-Mures_Descriere-Activitati.docx</t>
        </is>
      </c>
      <c r="D529" s="2" t="inlineStr">
        <is>
          <t>.docx</t>
        </is>
      </c>
      <c r="E529" s="2" t="n">
        <v>40920</v>
      </c>
      <c r="F529" s="2" t="inlineStr">
        <is>
          <t>2026-07-09T10:13:20</t>
        </is>
      </c>
      <c r="G529" s="2" t="inlineStr">
        <is>
          <t>text Word integral</t>
        </is>
      </c>
      <c r="H529" s="2" t="inlineStr"/>
    </row>
    <row r="530">
      <c r="A530" s="2" t="inlineStr">
        <is>
          <t>\\192.168.100.169\Comun\00. Proiecte 2026</t>
        </is>
      </c>
      <c r="B530" s="2" t="inlineStr">
        <is>
          <t>\\192.168.100.169\Comun\00. Proiecte 2026\9999. 2026.07.03 - P6 TRANZITIA FORTEI DE MUNCA\P1. Rose - RECONECT Mureș\024_RECONECT-Mures_Curricula-Cursuri.docx</t>
        </is>
      </c>
      <c r="C530" s="2" t="inlineStr">
        <is>
          <t>024_RECONECT-Mures_Curricula-Cursuri.docx</t>
        </is>
      </c>
      <c r="D530" s="2" t="inlineStr">
        <is>
          <t>.docx</t>
        </is>
      </c>
      <c r="E530" s="2" t="n">
        <v>37984</v>
      </c>
      <c r="F530" s="2" t="inlineStr">
        <is>
          <t>2026-07-09T10:13:20</t>
        </is>
      </c>
      <c r="G530" s="2" t="inlineStr">
        <is>
          <t>text Word integral</t>
        </is>
      </c>
      <c r="H530" s="2" t="inlineStr"/>
    </row>
    <row r="531">
      <c r="A531" s="2" t="inlineStr">
        <is>
          <t>\\192.168.100.169\Comun\00. Proiecte 2026</t>
        </is>
      </c>
      <c r="B531" s="2" t="inlineStr">
        <is>
          <t>\\192.168.100.169\Comun\00. Proiecte 2026\9999. 2026.07.03 - P6 TRANZITIA FORTEI DE MUNCA\P1. Rose - RECONECT Mureș\025_RECONECT-Mures_Grup-Tinta.docx</t>
        </is>
      </c>
      <c r="C531" s="2" t="inlineStr">
        <is>
          <t>025_RECONECT-Mures_Grup-Tinta.docx</t>
        </is>
      </c>
      <c r="D531" s="2" t="inlineStr">
        <is>
          <t>.docx</t>
        </is>
      </c>
      <c r="E531" s="2" t="n">
        <v>38518</v>
      </c>
      <c r="F531" s="2" t="inlineStr">
        <is>
          <t>2026-07-09T10:13:20</t>
        </is>
      </c>
      <c r="G531" s="2" t="inlineStr">
        <is>
          <t>text Word integral</t>
        </is>
      </c>
      <c r="H531" s="2" t="inlineStr"/>
    </row>
    <row r="532">
      <c r="A532" s="2" t="inlineStr">
        <is>
          <t>\\192.168.100.169\Comun\00. Proiecte 2026</t>
        </is>
      </c>
      <c r="B532" s="2" t="inlineStr">
        <is>
          <t>\\192.168.100.169\Comun\00. Proiecte 2026\9999. 2026.07.03 - P6 TRANZITIA FORTEI DE MUNCA\P1. Rose - RECONECT Mureș\026_RECONECT-Mures_Sustenabilitate.docx</t>
        </is>
      </c>
      <c r="C532" s="2" t="inlineStr">
        <is>
          <t>026_RECONECT-Mures_Sustenabilitate.docx</t>
        </is>
      </c>
      <c r="D532" s="2" t="inlineStr">
        <is>
          <t>.docx</t>
        </is>
      </c>
      <c r="E532" s="2" t="n">
        <v>38519</v>
      </c>
      <c r="F532" s="2" t="inlineStr">
        <is>
          <t>2026-07-09T10:13:20</t>
        </is>
      </c>
      <c r="G532" s="2" t="inlineStr">
        <is>
          <t>text Word integral</t>
        </is>
      </c>
      <c r="H532" s="2" t="inlineStr"/>
    </row>
    <row r="533">
      <c r="A533" s="2" t="inlineStr">
        <is>
          <t>\\192.168.100.169\Comun\00. Proiecte 2026</t>
        </is>
      </c>
      <c r="B533" s="2" t="inlineStr">
        <is>
          <t>\\192.168.100.169\Comun\00. Proiecte 2026\9999. 2026.07.03 - P6 TRANZITIA FORTEI DE MUNCA\P1. Rose - RECONECT Mureș\027_RECONECT-Mures_Egalitate-Sanse.docx</t>
        </is>
      </c>
      <c r="C533" s="2" t="inlineStr">
        <is>
          <t>027_RECONECT-Mures_Egalitate-Sanse.docx</t>
        </is>
      </c>
      <c r="D533" s="2" t="inlineStr">
        <is>
          <t>.docx</t>
        </is>
      </c>
      <c r="E533" s="2" t="n">
        <v>38298</v>
      </c>
      <c r="F533" s="2" t="inlineStr">
        <is>
          <t>2026-07-09T10:13:20</t>
        </is>
      </c>
      <c r="G533" s="2" t="inlineStr">
        <is>
          <t>text Word integral</t>
        </is>
      </c>
      <c r="H533" s="2" t="inlineStr"/>
    </row>
    <row r="534">
      <c r="A534" s="2" t="inlineStr">
        <is>
          <t>\\192.168.100.169\Comun\00. Proiecte 2026</t>
        </is>
      </c>
      <c r="B534" s="2" t="inlineStr">
        <is>
          <t>\\192.168.100.169\Comun\00. Proiecte 2026\9999. 2026.07.03 - P6 TRANZITIA FORTEI DE MUNCA\P1. Rose - RECONECT Mureș\028_RECONECT-Mures_Inovare-Sociala.docx</t>
        </is>
      </c>
      <c r="C534" s="2" t="inlineStr">
        <is>
          <t>028_RECONECT-Mures_Inovare-Sociala.docx</t>
        </is>
      </c>
      <c r="D534" s="2" t="inlineStr">
        <is>
          <t>.docx</t>
        </is>
      </c>
      <c r="E534" s="2" t="n">
        <v>38311</v>
      </c>
      <c r="F534" s="2" t="inlineStr">
        <is>
          <t>2026-07-09T10:13:20</t>
        </is>
      </c>
      <c r="G534" s="2" t="inlineStr">
        <is>
          <t>text Word integral</t>
        </is>
      </c>
      <c r="H534" s="2" t="inlineStr"/>
    </row>
    <row r="535">
      <c r="A535" s="2" t="inlineStr">
        <is>
          <t>\\192.168.100.169\Comun\00. Proiecte 2026</t>
        </is>
      </c>
      <c r="B535" s="2" t="inlineStr">
        <is>
          <t>\\192.168.100.169\Comun\00. Proiecte 2026\9999. 2026.07.03 - P6 TRANZITIA FORTEI DE MUNCA\P1. Rose - RECONECT Mureș\030_RECONECT-Mures_Buget-Detaliat.xlsx</t>
        </is>
      </c>
      <c r="C535" s="2" t="inlineStr">
        <is>
          <t>030_RECONECT-Mures_Buget-Detaliat.xlsx</t>
        </is>
      </c>
      <c r="D535" s="2" t="inlineStr">
        <is>
          <t>.xlsx</t>
        </is>
      </c>
      <c r="E535" s="2" t="n">
        <v>19892</v>
      </c>
      <c r="F535" s="2" t="inlineStr">
        <is>
          <t>2026-07-08T17:29:24</t>
        </is>
      </c>
      <c r="G535" s="2" t="inlineStr">
        <is>
          <t>valori Excel; fără obiecte încorporate</t>
        </is>
      </c>
      <c r="H535" s="2" t="inlineStr"/>
    </row>
    <row r="536">
      <c r="A536" s="2" t="inlineStr">
        <is>
          <t>\\192.168.100.169\Comun\00. Proiecte 2026</t>
        </is>
      </c>
      <c r="B536" s="2" t="inlineStr">
        <is>
          <t>\\192.168.100.169\Comun\00. Proiecte 2026\9999. 2026.07.03 - P6 TRANZITIA FORTEI DE MUNCA\P1. Rose - RECONECT Mureș\031_RECONECT-Mures_Buget-Narativ.md</t>
        </is>
      </c>
      <c r="C536" s="2" t="inlineStr">
        <is>
          <t>031_RECONECT-Mures_Buget-Narativ.md</t>
        </is>
      </c>
      <c r="D536" s="2" t="inlineStr">
        <is>
          <t>.md</t>
        </is>
      </c>
      <c r="E536" s="2" t="n">
        <v>10614</v>
      </c>
      <c r="F536" s="2" t="inlineStr">
        <is>
          <t>2026-07-08T17:32:30</t>
        </is>
      </c>
      <c r="G536" s="2" t="inlineStr">
        <is>
          <t>text integral</t>
        </is>
      </c>
      <c r="H536" s="2" t="inlineStr">
        <is>
          <t xml:space="preserve"> din categorii vulnerabile (șomeri, inactivi, persoane cu venituri reduse).  **Subvenție participare (200 EUR/participant × 150 = 30.000 EUR):** Stimulent financiar pe durata cursului care acoperă parțial venitul pierdut pe perioada formării. Conform practicii proiectelor similare din POCU/PEO.  **Transport (120 EUR/participant </t>
        </is>
      </c>
    </row>
    <row r="537">
      <c r="A537" s="2" t="inlineStr">
        <is>
          <t>\\192.168.100.169\Comun\00. Proiecte 2026</t>
        </is>
      </c>
      <c r="B537" s="2" t="inlineStr">
        <is>
          <t>\\192.168.100.169\Comun\00. Proiecte 2026\9999. 2026.07.03 - P6 TRANZITIA FORTEI DE MUNCA\P1. Rose - RECONECT Mureș\032_RECONECT-Mures_Flux-Numerar.xlsx</t>
        </is>
      </c>
      <c r="C537" s="2" t="inlineStr">
        <is>
          <t>032_RECONECT-Mures_Flux-Numerar.xlsx</t>
        </is>
      </c>
      <c r="D537" s="2" t="inlineStr">
        <is>
          <t>.xlsx</t>
        </is>
      </c>
      <c r="E537" s="2" t="n">
        <v>10901</v>
      </c>
      <c r="F537" s="2" t="inlineStr">
        <is>
          <t>2026-07-09T09:35:02</t>
        </is>
      </c>
      <c r="G537" s="2" t="inlineStr">
        <is>
          <t>valori Excel; fără obiecte încorporate</t>
        </is>
      </c>
      <c r="H537" s="2" t="inlineStr"/>
    </row>
    <row r="538">
      <c r="A538" s="2" t="inlineStr">
        <is>
          <t>\\192.168.100.169\Comun\00. Proiecte 2026</t>
        </is>
      </c>
      <c r="B538" s="2" t="inlineStr">
        <is>
          <t>\\192.168.100.169\Comun\00. Proiecte 2026\9999. 2026.07.03 - P6 TRANZITIA FORTEI DE MUNCA\P1. Rose - RECONECT Mureș\033_RECONECT-Mures_Lista-Echipamente-Servicii.docx</t>
        </is>
      </c>
      <c r="C538" s="2" t="inlineStr">
        <is>
          <t>033_RECONECT-Mures_Lista-Echipamente-Servicii.docx</t>
        </is>
      </c>
      <c r="D538" s="2" t="inlineStr">
        <is>
          <t>.docx</t>
        </is>
      </c>
      <c r="E538" s="2" t="n">
        <v>38494</v>
      </c>
      <c r="F538" s="2" t="inlineStr">
        <is>
          <t>2026-07-09T10:13:20</t>
        </is>
      </c>
      <c r="G538" s="2" t="inlineStr">
        <is>
          <t>text Word integral</t>
        </is>
      </c>
      <c r="H538" s="2" t="inlineStr"/>
    </row>
    <row r="539">
      <c r="A539" s="2" t="inlineStr">
        <is>
          <t>\\192.168.100.169\Comun\00. Proiecte 2026</t>
        </is>
      </c>
      <c r="B539" s="2" t="inlineStr">
        <is>
          <t>\\192.168.100.169\Comun\00. Proiecte 2026\9999. 2026.07.03 - P6 TRANZITIA FORTEI DE MUNCA\P1. Rose - RECONECT Mureș\040_RECONECT-Mures_Experienta-ROSE.docx</t>
        </is>
      </c>
      <c r="C539" s="2" t="inlineStr">
        <is>
          <t>040_RECONECT-Mures_Experienta-ROSE.docx</t>
        </is>
      </c>
      <c r="D539" s="2" t="inlineStr">
        <is>
          <t>.docx</t>
        </is>
      </c>
      <c r="E539" s="2" t="n">
        <v>37934</v>
      </c>
      <c r="F539" s="2" t="inlineStr">
        <is>
          <t>2026-07-09T10:13:20</t>
        </is>
      </c>
      <c r="G539" s="2" t="inlineStr">
        <is>
          <t>text Word integral</t>
        </is>
      </c>
      <c r="H539" s="2" t="inlineStr"/>
    </row>
    <row r="540">
      <c r="A540" s="2" t="inlineStr">
        <is>
          <t>\\192.168.100.169\Comun\00. Proiecte 2026</t>
        </is>
      </c>
      <c r="B540" s="2" t="inlineStr">
        <is>
          <t>\\192.168.100.169\Comun\00. Proiecte 2026\9999. 2026.07.03 - P6 TRANZITIA FORTEI DE MUNCA\P1. Rose - RECONECT Mureș\041_RECONECT-Mures_CV-Echipa-Management.docx</t>
        </is>
      </c>
      <c r="C540" s="2" t="inlineStr">
        <is>
          <t>041_RECONECT-Mures_CV-Echipa-Management.docx</t>
        </is>
      </c>
      <c r="D540" s="2" t="inlineStr">
        <is>
          <t>.docx</t>
        </is>
      </c>
      <c r="E540" s="2" t="n">
        <v>38092</v>
      </c>
      <c r="F540" s="2" t="inlineStr">
        <is>
          <t>2026-07-09T10:13:20</t>
        </is>
      </c>
      <c r="G540" s="2" t="inlineStr">
        <is>
          <t>text Word integral</t>
        </is>
      </c>
      <c r="H540" s="2" t="inlineStr"/>
    </row>
    <row r="541">
      <c r="A541" s="2" t="inlineStr">
        <is>
          <t>\\192.168.100.169\Comun\00. Proiecte 2026</t>
        </is>
      </c>
      <c r="B541" s="2" t="inlineStr">
        <is>
          <t>\\192.168.100.169\Comun\00. Proiecte 2026\9999. 2026.07.03 - P6 TRANZITIA FORTEI DE MUNCA\P1. Rose - RECONECT Mureș\042_RECONECT-Mures_Organigrama-Proiect.docx</t>
        </is>
      </c>
      <c r="C541" s="2" t="inlineStr">
        <is>
          <t>042_RECONECT-Mures_Organigrama-Proiect.docx</t>
        </is>
      </c>
      <c r="D541" s="2" t="inlineStr">
        <is>
          <t>.docx</t>
        </is>
      </c>
      <c r="E541" s="2" t="n">
        <v>37519</v>
      </c>
      <c r="F541" s="2" t="inlineStr">
        <is>
          <t>2026-07-09T10:13:20</t>
        </is>
      </c>
      <c r="G541" s="2" t="inlineStr">
        <is>
          <t>text Word integral</t>
        </is>
      </c>
      <c r="H541" s="2" t="inlineStr"/>
    </row>
    <row r="542">
      <c r="A542" s="2" t="inlineStr">
        <is>
          <t>\\192.168.100.169\Comun\00. Proiecte 2026</t>
        </is>
      </c>
      <c r="B542" s="2" t="inlineStr">
        <is>
          <t>\\192.168.100.169\Comun\00. Proiecte 2026\9999. 2026.07.03 - P6 TRANZITIA FORTEI DE MUNCA\P1. Rose - RECONECT Mureș\043_RECONECT-Mures_Fise-Post.docx</t>
        </is>
      </c>
      <c r="C542" s="2" t="inlineStr">
        <is>
          <t>043_RECONECT-Mures_Fise-Post.docx</t>
        </is>
      </c>
      <c r="D542" s="2" t="inlineStr">
        <is>
          <t>.docx</t>
        </is>
      </c>
      <c r="E542" s="2" t="n">
        <v>38252</v>
      </c>
      <c r="F542" s="2" t="inlineStr">
        <is>
          <t>2026-07-09T10:13:20</t>
        </is>
      </c>
      <c r="G542" s="2" t="inlineStr">
        <is>
          <t>text Word integral</t>
        </is>
      </c>
      <c r="H542" s="2" t="inlineStr"/>
    </row>
    <row r="543">
      <c r="A543" s="2" t="inlineStr">
        <is>
          <t>\\192.168.100.169\Comun\00. Proiecte 2026</t>
        </is>
      </c>
      <c r="B543" s="2" t="inlineStr">
        <is>
          <t>\\192.168.100.169\Comun\00. Proiecte 2026\9999. 2026.07.03 - P6 TRANZITIA FORTEI DE MUNCA\P1. Rose - RECONECT Mureș\057_RECONECT-Mures_Hotarare-Aprobare-Proiect.docx</t>
        </is>
      </c>
      <c r="C543" s="2" t="inlineStr">
        <is>
          <t>057_RECONECT-Mures_Hotarare-Aprobare-Proiect.docx</t>
        </is>
      </c>
      <c r="D543" s="2" t="inlineStr">
        <is>
          <t>.docx</t>
        </is>
      </c>
      <c r="E543" s="2" t="n">
        <v>37864</v>
      </c>
      <c r="F543" s="2" t="inlineStr">
        <is>
          <t>2026-07-09T10:13:20</t>
        </is>
      </c>
      <c r="G543" s="2" t="inlineStr">
        <is>
          <t>text Word integral</t>
        </is>
      </c>
      <c r="H543" s="2" t="inlineStr"/>
    </row>
    <row r="544">
      <c r="A544" s="2" t="inlineStr">
        <is>
          <t>\\192.168.100.169\Comun\00. Proiecte 2026</t>
        </is>
      </c>
      <c r="B544" s="2" t="inlineStr">
        <is>
          <t>\\192.168.100.169\Comun\00. Proiecte 2026\9999. 2026.07.03 - P6 TRANZITIA FORTEI DE MUNCA\P1. Rose - RECONECT Mureș\060_RECONECT-Mures_Plan-Achizitii.docx</t>
        </is>
      </c>
      <c r="C544" s="2" t="inlineStr">
        <is>
          <t>060_RECONECT-Mures_Plan-Achizitii.docx</t>
        </is>
      </c>
      <c r="D544" s="2" t="inlineStr">
        <is>
          <t>.docx</t>
        </is>
      </c>
      <c r="E544" s="2" t="n">
        <v>38376</v>
      </c>
      <c r="F544" s="2" t="inlineStr">
        <is>
          <t>2026-07-09T10:13:20</t>
        </is>
      </c>
      <c r="G544" s="2" t="inlineStr">
        <is>
          <t>text Word integral</t>
        </is>
      </c>
      <c r="H544" s="2" t="inlineStr">
        <is>
          <t xml:space="preserve"> procedurile se stabilesc prin contractul de finantare. Orientativ: - Sub 5.000 EUR: achizitie directa (minim 1 oferta) - 5.000 - 30.000 EUR: procedura competitiva simplificata (minim 3 oferte) - Peste 30.000 EUR: procedura competitiva (publicare anunt, minim 3 oferte, comisie evaluare)  CALENDAR ACHIZITII: Luna 1: Lansare achiz
b 5.000 EUR: achizitie directa (minim 1 oferta) - 5.000 - 30.000 EUR: procedura competitiva simplificata (minim 3 oferte) - Peste 30.000 EUR: procedura competitiva (publicare anunt, minim 3 oferte, comisie evaluare)  CALENDAR ACHIZITII: Luna 1: Lansare achizitii echipamente, website, materiale promotionale Luna 1-2: Achizitie ec</t>
        </is>
      </c>
    </row>
    <row r="545">
      <c r="A545" s="2" t="inlineStr">
        <is>
          <t>\\192.168.100.169\Comun\00. Proiecte 2026</t>
        </is>
      </c>
      <c r="B545" s="2" t="inlineStr">
        <is>
          <t>\\192.168.100.169\Comun\00. Proiecte 2026\9999. 2026.07.03 - P6 TRANZITIA FORTEI DE MUNCA\P1. Rose - RECONECT Mureș\061_RECONECT-Mures_Caiet-Sarcini-Formare.docx</t>
        </is>
      </c>
      <c r="C545" s="2" t="inlineStr">
        <is>
          <t>061_RECONECT-Mures_Caiet-Sarcini-Formare.docx</t>
        </is>
      </c>
      <c r="D545" s="2" t="inlineStr">
        <is>
          <t>.docx</t>
        </is>
      </c>
      <c r="E545" s="2" t="n">
        <v>38050</v>
      </c>
      <c r="F545" s="2" t="inlineStr">
        <is>
          <t>2026-07-09T10:13:20</t>
        </is>
      </c>
      <c r="G545" s="2" t="inlineStr">
        <is>
          <t>text Word integral</t>
        </is>
      </c>
      <c r="H545" s="2" t="inlineStr"/>
    </row>
    <row r="546">
      <c r="A546" s="2" t="inlineStr">
        <is>
          <t>\\192.168.100.169\Comun\00. Proiecte 2026</t>
        </is>
      </c>
      <c r="B546" s="2" t="inlineStr">
        <is>
          <t>\\192.168.100.169\Comun\00. Proiecte 2026\9999. 2026.07.03 - P6 TRANZITIA FORTEI DE MUNCA\P1. Rose - RECONECT Mureș\070_RECONECT-Mures_Sistem-Monitorizare.docx</t>
        </is>
      </c>
      <c r="C546" s="2" t="inlineStr">
        <is>
          <t>070_RECONECT-Mures_Sistem-Monitorizare.docx</t>
        </is>
      </c>
      <c r="D546" s="2" t="inlineStr">
        <is>
          <t>.docx</t>
        </is>
      </c>
      <c r="E546" s="2" t="n">
        <v>38318</v>
      </c>
      <c r="F546" s="2" t="inlineStr">
        <is>
          <t>2026-07-09T10:13:20</t>
        </is>
      </c>
      <c r="G546" s="2" t="inlineStr">
        <is>
          <t>text Word integral</t>
        </is>
      </c>
      <c r="H546" s="2" t="inlineStr"/>
    </row>
    <row r="547">
      <c r="A547" s="2" t="inlineStr">
        <is>
          <t>\\192.168.100.169\Comun\00. Proiecte 2026</t>
        </is>
      </c>
      <c r="B547" s="2" t="inlineStr">
        <is>
          <t>\\192.168.100.169\Comun\00. Proiecte 2026\9999. 2026.07.03 - P6 TRANZITIA FORTEI DE MUNCA\P1. Rose - RECONECT Mureș\071_RECONECT-Mures_Model-Raport-Tehnic.docx</t>
        </is>
      </c>
      <c r="C547" s="2" t="inlineStr">
        <is>
          <t>071_RECONECT-Mures_Model-Raport-Tehnic.docx</t>
        </is>
      </c>
      <c r="D547" s="2" t="inlineStr">
        <is>
          <t>.docx</t>
        </is>
      </c>
      <c r="E547" s="2" t="n">
        <v>38174</v>
      </c>
      <c r="F547" s="2" t="inlineStr">
        <is>
          <t>2026-07-09T10:13:20</t>
        </is>
      </c>
      <c r="G547" s="2" t="inlineStr">
        <is>
          <t>text Word integral</t>
        </is>
      </c>
      <c r="H547" s="2" t="inlineStr"/>
    </row>
    <row r="548">
      <c r="A548" s="2" t="inlineStr">
        <is>
          <t>\\192.168.100.169\Comun\00. Proiecte 2026</t>
        </is>
      </c>
      <c r="B548" s="2" t="inlineStr">
        <is>
          <t>\\192.168.100.169\Comun\00. Proiecte 2026\9999. 2026.07.03 - P6 TRANZITIA FORTEI DE MUNCA\P1. Rose - RECONECT Mureș\072_RECONECT-Mures_Registru-Participanti.xlsx</t>
        </is>
      </c>
      <c r="C548" s="2" t="inlineStr">
        <is>
          <t>072_RECONECT-Mures_Registru-Participanti.xlsx</t>
        </is>
      </c>
      <c r="D548" s="2" t="inlineStr">
        <is>
          <t>.xlsx</t>
        </is>
      </c>
      <c r="E548" s="2" t="n">
        <v>15526</v>
      </c>
      <c r="F548" s="2" t="inlineStr">
        <is>
          <t>2026-07-09T09:35:04</t>
        </is>
      </c>
      <c r="G548" s="2" t="inlineStr">
        <is>
          <t>valori Excel; fără obiecte încorporate</t>
        </is>
      </c>
      <c r="H548" s="2" t="inlineStr"/>
    </row>
    <row r="549">
      <c r="A549" s="2" t="inlineStr">
        <is>
          <t>\\192.168.100.169\Comun\00. Proiecte 2026</t>
        </is>
      </c>
      <c r="B549" s="2" t="inlineStr">
        <is>
          <t>\\192.168.100.169\Comun\00. Proiecte 2026\9999. 2026.07.03 - P6 TRANZITIA FORTEI DE MUNCA\P1. Rose - RECONECT Mureș\080_RECONECT-Mures_Scrisori-Intentie-Angajatori.docx</t>
        </is>
      </c>
      <c r="C549" s="2" t="inlineStr">
        <is>
          <t>080_RECONECT-Mures_Scrisori-Intentie-Angajatori.docx</t>
        </is>
      </c>
      <c r="D549" s="2" t="inlineStr">
        <is>
          <t>.docx</t>
        </is>
      </c>
      <c r="E549" s="2" t="n">
        <v>38013</v>
      </c>
      <c r="F549" s="2" t="inlineStr">
        <is>
          <t>2026-07-09T10:13:20</t>
        </is>
      </c>
      <c r="G549" s="2" t="inlineStr">
        <is>
          <t>text Word integral</t>
        </is>
      </c>
      <c r="H549" s="2" t="inlineStr"/>
    </row>
    <row r="550">
      <c r="A550" s="2" t="inlineStr">
        <is>
          <t>\\192.168.100.169\Comun\00. Proiecte 2026</t>
        </is>
      </c>
      <c r="B550" s="2" t="inlineStr">
        <is>
          <t>\\192.168.100.169\Comun\00. Proiecte 2026\9999. 2026.07.03 - P6 TRANZITIA FORTEI DE MUNCA\P1. Rose - RECONECT Mureș\081_RECONECT-Mures_Protocol-AJOFM-Mures.docx</t>
        </is>
      </c>
      <c r="C550" s="2" t="inlineStr">
        <is>
          <t>081_RECONECT-Mures_Protocol-AJOFM-Mures.docx</t>
        </is>
      </c>
      <c r="D550" s="2" t="inlineStr">
        <is>
          <t>.docx</t>
        </is>
      </c>
      <c r="E550" s="2" t="n">
        <v>38050</v>
      </c>
      <c r="F550" s="2" t="inlineStr">
        <is>
          <t>2026-07-09T10:13:20</t>
        </is>
      </c>
      <c r="G550" s="2" t="inlineStr">
        <is>
          <t>text Word integral</t>
        </is>
      </c>
      <c r="H550" s="2" t="inlineStr"/>
    </row>
    <row r="551">
      <c r="A551" s="2" t="inlineStr">
        <is>
          <t>\\192.168.100.169\Comun\00. Proiecte 2026</t>
        </is>
      </c>
      <c r="B551" s="2" t="inlineStr">
        <is>
          <t>\\192.168.100.169\Comun\00. Proiecte 2026\9999. 2026.07.03 - P6 TRANZITIA FORTEI DE MUNCA\P1. Rose - RECONECT Mureș\082_RECONECT-Mures_Studiu-Piata-Muncii-Mures.docx</t>
        </is>
      </c>
      <c r="C551" s="2" t="inlineStr">
        <is>
          <t>082_RECONECT-Mures_Studiu-Piata-Muncii-Mures.docx</t>
        </is>
      </c>
      <c r="D551" s="2" t="inlineStr">
        <is>
          <t>.docx</t>
        </is>
      </c>
      <c r="E551" s="2" t="n">
        <v>38258</v>
      </c>
      <c r="F551" s="2" t="inlineStr">
        <is>
          <t>2026-07-09T10:13:20</t>
        </is>
      </c>
      <c r="G551" s="2" t="inlineStr">
        <is>
          <t>text Word integral</t>
        </is>
      </c>
      <c r="H551" s="2" t="inlineStr"/>
    </row>
    <row r="552">
      <c r="A552" s="2" t="inlineStr">
        <is>
          <t>\\192.168.100.169\Comun\00. Proiecte 2026</t>
        </is>
      </c>
      <c r="B552" s="2" t="inlineStr">
        <is>
          <t>\\192.168.100.169\Comun\00. Proiecte 2026\9999. 2026.07.03 - P6 TRANZITIA FORTEI DE MUNCA\P1. Rose - RECONECT Mureș\083_RECONECT-Mures_Rezultate-Asteptate.docx</t>
        </is>
      </c>
      <c r="C552" s="2" t="inlineStr">
        <is>
          <t>083_RECONECT-Mures_Rezultate-Asteptate.docx</t>
        </is>
      </c>
      <c r="D552" s="2" t="inlineStr">
        <is>
          <t>.docx</t>
        </is>
      </c>
      <c r="E552" s="2" t="n">
        <v>38426</v>
      </c>
      <c r="F552" s="2" t="inlineStr">
        <is>
          <t>2026-07-09T10:13:20</t>
        </is>
      </c>
      <c r="G552" s="2" t="inlineStr">
        <is>
          <t>text Word integral</t>
        </is>
      </c>
      <c r="H552" s="2" t="inlineStr"/>
    </row>
    <row r="553">
      <c r="A553" s="2" t="inlineStr">
        <is>
          <t>\\192.168.100.169\Comun\00. Proiecte 2026</t>
        </is>
      </c>
      <c r="B553" s="2" t="inlineStr">
        <is>
          <t>\\192.168.100.169\Comun\00. Proiecte 2026\9999. 2026.07.03 - P6 TRANZITIA FORTEI DE MUNCA\P1. Rose - RECONECT Mureș\084_RECONECT-Mures_Analiza-Riscuri.docx</t>
        </is>
      </c>
      <c r="C553" s="2" t="inlineStr">
        <is>
          <t>084_RECONECT-Mures_Analiza-Riscuri.docx</t>
        </is>
      </c>
      <c r="D553" s="2" t="inlineStr">
        <is>
          <t>.docx</t>
        </is>
      </c>
      <c r="E553" s="2" t="n">
        <v>39028</v>
      </c>
      <c r="F553" s="2" t="inlineStr">
        <is>
          <t>2026-07-09T10:13:20</t>
        </is>
      </c>
      <c r="G553" s="2" t="inlineStr">
        <is>
          <t>text Word integral</t>
        </is>
      </c>
      <c r="H553" s="2" t="inlineStr"/>
    </row>
    <row r="554">
      <c r="A554" s="2" t="inlineStr">
        <is>
          <t>\\192.168.100.169\Comun\00. Proiecte 2026</t>
        </is>
      </c>
      <c r="B554" s="2" t="inlineStr">
        <is>
          <t>\\192.168.100.169\Comun\00. Proiecte 2026\9999. 2026.07.03 - P6 TRANZITIA FORTEI DE MUNCA\P1. Rose - RECONECT Mureș\Thumbs.db</t>
        </is>
      </c>
      <c r="C554" s="2" t="inlineStr">
        <is>
          <t>Thumbs.db</t>
        </is>
      </c>
      <c r="D554" s="2" t="inlineStr">
        <is>
          <t>.db</t>
        </is>
      </c>
      <c r="E554" s="2" t="n">
        <v>3584</v>
      </c>
      <c r="F554" s="2" t="inlineStr">
        <is>
          <t>2026-07-13T11:31:52</t>
        </is>
      </c>
      <c r="G554" s="2" t="inlineStr">
        <is>
          <t>format non analysé</t>
        </is>
      </c>
      <c r="H554" s="2" t="inlineStr"/>
    </row>
    <row r="555">
      <c r="A555" s="2" t="inlineStr">
        <is>
          <t>\\192.168.100.169\Comun\00. Proiecte 2026</t>
        </is>
      </c>
      <c r="B555" s="2" t="inlineStr">
        <is>
          <t>\\192.168.100.169\Comun\00. Proiecte 2026\9999. 2026.07.17 - P1 2.1.2. Platformă regională pilot de open-inovation în domeniul smart-city\CONDIȚII DE ELIGIBILITAT1.docx</t>
        </is>
      </c>
      <c r="C555" s="2" t="inlineStr">
        <is>
          <t>CONDIȚII DE ELIGIBILITAT1.docx</t>
        </is>
      </c>
      <c r="D555" s="2" t="inlineStr">
        <is>
          <t>.docx</t>
        </is>
      </c>
      <c r="E555" s="2" t="n">
        <v>26616</v>
      </c>
      <c r="F555" s="2" t="inlineStr">
        <is>
          <t>2026-06-26T13:21:47</t>
        </is>
      </c>
      <c r="G555" s="2" t="inlineStr">
        <is>
          <t>text Word integral</t>
        </is>
      </c>
      <c r="H555" s="2" t="inlineStr"/>
    </row>
    <row r="556">
      <c r="A556" s="2" t="inlineStr">
        <is>
          <t>\\192.168.100.169\Comun\00. Proiecte 2026</t>
        </is>
      </c>
      <c r="B556" s="2" t="inlineStr">
        <is>
          <t>\\192.168.100.169\Comun\00. Proiecte 2026\9999. 2026.07.17 - P1 2.1.2. Platformă regională pilot de open-inovation în domeniul smart-city\1.DOCUMENTE OFICIALE\Corrigendum-2-–-Interventia-1.3.3_2.1.2.pdf</t>
        </is>
      </c>
      <c r="C556" s="2" t="inlineStr">
        <is>
          <t>Corrigendum-2-–-Interventia-1.3.3_2.1.2.pdf</t>
        </is>
      </c>
      <c r="D556" s="2" t="inlineStr">
        <is>
          <t>.pdf</t>
        </is>
      </c>
      <c r="E556" s="2" t="n">
        <v>541314</v>
      </c>
      <c r="F556" s="2" t="inlineStr">
        <is>
          <t>2026-06-25T14:26:35</t>
        </is>
      </c>
      <c r="G556" s="2" t="inlineStr">
        <is>
          <t>text PDF integral</t>
        </is>
      </c>
      <c r="H556" s="2" t="inlineStr"/>
    </row>
    <row r="557">
      <c r="A557" s="2" t="inlineStr">
        <is>
          <t>\\192.168.100.169\Comun\00. Proiecte 2026</t>
        </is>
      </c>
      <c r="B557" s="2" t="inlineStr">
        <is>
          <t>\\192.168.100.169\Comun\00. Proiecte 2026\9999. 2026.07.17 - P1 2.1.2. Platformă regională pilot de open-inovation în domeniul smart-city\1.DOCUMENTE OFICIALE\Decizia-de-aprobare-a-Corrigendum-ului-2-–-Interventia-1.3.3_2.1.2.pdf</t>
        </is>
      </c>
      <c r="C557" s="2" t="inlineStr">
        <is>
          <t>Decizia-de-aprobare-a-Corrigendum-ului-2-–-Interventia-1.3.3_2.1.2.pdf</t>
        </is>
      </c>
      <c r="D557" s="2" t="inlineStr">
        <is>
          <t>.pdf</t>
        </is>
      </c>
      <c r="E557" s="2" t="n">
        <v>1031728</v>
      </c>
      <c r="F557" s="2" t="inlineStr">
        <is>
          <t>2026-06-25T14:26:46</t>
        </is>
      </c>
      <c r="G557" s="2" t="inlineStr">
        <is>
          <t>PDF fără text extractibil; OCR necesar</t>
        </is>
      </c>
      <c r="H557" s="2" t="inlineStr"/>
    </row>
    <row r="558">
      <c r="A558" s="2" t="inlineStr">
        <is>
          <t>\\192.168.100.169\Comun\00. Proiecte 2026</t>
        </is>
      </c>
      <c r="B558" s="2" t="inlineStr">
        <is>
          <t>\\192.168.100.169\Comun\00. Proiecte 2026\9999. 2026.07.17 - P1 2.1.2. Platformă regională pilot de open-inovation în domeniul smart-city\1.DOCUMENTE OFICIALE\Ghidul-solicitantului-Corrigendum-2-–-Interventia-1.3.3_2.1.2.pdf</t>
        </is>
      </c>
      <c r="C558" s="2" t="inlineStr">
        <is>
          <t>Ghidul-solicitantului-Corrigendum-2-–-Interventia-1.3.3_2.1.2.pdf</t>
        </is>
      </c>
      <c r="D558" s="2" t="inlineStr">
        <is>
          <t>.pdf</t>
        </is>
      </c>
      <c r="E558" s="2" t="n">
        <v>1589013</v>
      </c>
      <c r="F558" s="2" t="inlineStr">
        <is>
          <t>2026-06-25T14:26:20</t>
        </is>
      </c>
      <c r="G558" s="2" t="inlineStr">
        <is>
          <t>text PDF integral</t>
        </is>
      </c>
      <c r="H558" s="2" t="inlineStr"/>
    </row>
    <row r="559">
      <c r="A559" s="2" t="inlineStr">
        <is>
          <t>\\192.168.100.169\Comun\00. Proiecte 2026</t>
        </is>
      </c>
      <c r="B559" s="2" t="inlineStr">
        <is>
          <t>\\192.168.100.169\Comun\00. Proiecte 2026\9999. 2026.07.17 - P1 2.1.2. Platformă regională pilot de open-inovation în domeniul smart-city\1.DOCUMENTE OFICIALE\Sinteza-modificarilor-Corrigendum-2-–-Interventia-1.3.3_2.1.2.pdf</t>
        </is>
      </c>
      <c r="C559" s="2" t="inlineStr">
        <is>
          <t>Sinteza-modificarilor-Corrigendum-2-–-Interventia-1.3.3_2.1.2.pdf</t>
        </is>
      </c>
      <c r="D559" s="2" t="inlineStr">
        <is>
          <t>.pdf</t>
        </is>
      </c>
      <c r="E559" s="2" t="n">
        <v>452862</v>
      </c>
      <c r="F559" s="2" t="inlineStr">
        <is>
          <t>2026-06-25T14:26:59</t>
        </is>
      </c>
      <c r="G559" s="2" t="inlineStr">
        <is>
          <t>text PDF integral</t>
        </is>
      </c>
      <c r="H559" s="2" t="inlineStr"/>
    </row>
    <row r="560">
      <c r="A560" s="2" t="inlineStr">
        <is>
          <t>\\192.168.100.169\Comun\00. Proiecte 2026</t>
        </is>
      </c>
      <c r="B560" s="2" t="inlineStr">
        <is>
          <t>\\192.168.100.169\Comun\00. Proiecte 2026\9999. 2026.07.17 - P1 2.1.2. Platformă regională pilot de open-inovation în domeniul smart-city\1.DOCUMENTE OFICIALE\ANEXE\Anexa 1 - Instructiuni de completare a formularului cererii de finantare 15.05.2026.docx</t>
        </is>
      </c>
      <c r="C560" s="2" t="inlineStr">
        <is>
          <t>Anexa 1 - Instructiuni de completare a formularului cererii de finantare 15.05.2026.docx</t>
        </is>
      </c>
      <c r="D560" s="2" t="inlineStr">
        <is>
          <t>.docx</t>
        </is>
      </c>
      <c r="E560" s="2" t="n">
        <v>7063797</v>
      </c>
      <c r="F560" s="2" t="inlineStr">
        <is>
          <t>2026-06-25T14:27:54</t>
        </is>
      </c>
      <c r="G560" s="2" t="inlineStr">
        <is>
          <t>text Word integral</t>
        </is>
      </c>
      <c r="H560" s="2" t="inlineStr"/>
    </row>
    <row r="561">
      <c r="A561" s="2" t="inlineStr">
        <is>
          <t>\\192.168.100.169\Comun\00. Proiecte 2026</t>
        </is>
      </c>
      <c r="B561" s="2" t="inlineStr">
        <is>
          <t>\\192.168.100.169\Comun\00. Proiecte 2026\9999. 2026.07.17 - P1 2.1.2. Platformă regională pilot de open-inovation în domeniul smart-city\1.DOCUMENTE OFICIALE\ANEXE\Anexa 10 - Nota privind fundamentarea costurilor.docx</t>
        </is>
      </c>
      <c r="C561" s="2" t="inlineStr">
        <is>
          <t>Anexa 10 - Nota privind fundamentarea costurilor.docx</t>
        </is>
      </c>
      <c r="D561" s="2" t="inlineStr">
        <is>
          <t>.docx</t>
        </is>
      </c>
      <c r="E561" s="2" t="n">
        <v>900405</v>
      </c>
      <c r="F561" s="2" t="inlineStr">
        <is>
          <t>2026-06-25T14:27:50</t>
        </is>
      </c>
      <c r="G561" s="2" t="inlineStr">
        <is>
          <t>text Word integral</t>
        </is>
      </c>
      <c r="H561" s="2" t="inlineStr"/>
    </row>
    <row r="562">
      <c r="A562" s="2" t="inlineStr">
        <is>
          <t>\\192.168.100.169\Comun\00. Proiecte 2026</t>
        </is>
      </c>
      <c r="B562" s="2" t="inlineStr">
        <is>
          <t>\\192.168.100.169\Comun\00. Proiecte 2026\9999. 2026.07.17 - P1 2.1.2. Platformă regională pilot de open-inovation în domeniul smart-city\1.DOCUMENTE OFICIALE\ANEXE\Anexa 11 - Lista de echipamente servicii.docx</t>
        </is>
      </c>
      <c r="C562" s="2" t="inlineStr">
        <is>
          <t>Anexa 11 - Lista de echipamente servicii.docx</t>
        </is>
      </c>
      <c r="D562" s="2" t="inlineStr">
        <is>
          <t>.docx</t>
        </is>
      </c>
      <c r="E562" s="2" t="n">
        <v>902767</v>
      </c>
      <c r="F562" s="2" t="inlineStr">
        <is>
          <t>2026-06-25T14:27:51</t>
        </is>
      </c>
      <c r="G562" s="2" t="inlineStr">
        <is>
          <t>text Word integral</t>
        </is>
      </c>
      <c r="H562" s="2" t="inlineStr"/>
    </row>
    <row r="563">
      <c r="A563" s="2" t="inlineStr">
        <is>
          <t>\\192.168.100.169\Comun\00. Proiecte 2026</t>
        </is>
      </c>
      <c r="B563" s="2" t="inlineStr">
        <is>
          <t>\\192.168.100.169\Comun\00. Proiecte 2026\9999. 2026.07.17 - P1 2.1.2. Platformă regională pilot de open-inovation în domeniul smart-city\1.DOCUMENTE OFICIALE\ANEXE\Anexa 12 - Acord parteneriat (model orientativ).docx</t>
        </is>
      </c>
      <c r="C563" s="2" t="inlineStr">
        <is>
          <t>Anexa 12 - Acord parteneriat (model orientativ).docx</t>
        </is>
      </c>
      <c r="D563" s="2" t="inlineStr">
        <is>
          <t>.docx</t>
        </is>
      </c>
      <c r="E563" s="2" t="n">
        <v>916709</v>
      </c>
      <c r="F563" s="2" t="inlineStr">
        <is>
          <t>2026-06-25T14:27:51</t>
        </is>
      </c>
      <c r="G563" s="2" t="inlineStr">
        <is>
          <t>text Word integral</t>
        </is>
      </c>
      <c r="H563" s="2" t="inlineStr"/>
    </row>
    <row r="564">
      <c r="A564" s="2" t="inlineStr">
        <is>
          <t>\\192.168.100.169\Comun\00. Proiecte 2026</t>
        </is>
      </c>
      <c r="B564" s="2" t="inlineStr">
        <is>
          <t>\\192.168.100.169\Comun\00. Proiecte 2026\9999. 2026.07.17 - P1 2.1.2. Platformă regională pilot de open-inovation în domeniul smart-city\1.DOCUMENTE OFICIALE\ANEXE\Anexa 13 - Planul de monitorizare.docx</t>
        </is>
      </c>
      <c r="C564" s="2" t="inlineStr">
        <is>
          <t>Anexa 13 - Planul de monitorizare.docx</t>
        </is>
      </c>
      <c r="D564" s="2" t="inlineStr">
        <is>
          <t>.docx</t>
        </is>
      </c>
      <c r="E564" s="2" t="n">
        <v>842320</v>
      </c>
      <c r="F564" s="2" t="inlineStr">
        <is>
          <t>2026-06-25T14:27:52</t>
        </is>
      </c>
      <c r="G564" s="2" t="inlineStr">
        <is>
          <t>text Word integral</t>
        </is>
      </c>
      <c r="H564" s="2" t="inlineStr"/>
    </row>
    <row r="565">
      <c r="A565" s="2" t="inlineStr">
        <is>
          <t>\\192.168.100.169\Comun\00. Proiecte 2026</t>
        </is>
      </c>
      <c r="B565" s="2" t="inlineStr">
        <is>
          <t>\\192.168.100.169\Comun\00. Proiecte 2026\9999. 2026.07.17 - P1 2.1.2. Platformă regională pilot de open-inovation în domeniul smart-city\1.DOCUMENTE OFICIALE\ANEXE\Anexa 14 - Contract de finantare_conditii generale si specifice.docx</t>
        </is>
      </c>
      <c r="C565" s="2" t="inlineStr">
        <is>
          <t>Anexa 14 - Contract de finantare_conditii generale si specifice.docx</t>
        </is>
      </c>
      <c r="D565" s="2" t="inlineStr">
        <is>
          <t>.docx</t>
        </is>
      </c>
      <c r="E565" s="2" t="n">
        <v>1003796</v>
      </c>
      <c r="F565" s="2" t="inlineStr">
        <is>
          <t>2026-06-25T14:27:52</t>
        </is>
      </c>
      <c r="G565" s="2" t="inlineStr">
        <is>
          <t>text Word integral</t>
        </is>
      </c>
      <c r="H565" s="2" t="inlineStr"/>
    </row>
    <row r="566">
      <c r="A566" s="2" t="inlineStr">
        <is>
          <t>\\192.168.100.169\Comun\00. Proiecte 2026</t>
        </is>
      </c>
      <c r="B566" s="2" t="inlineStr">
        <is>
          <t>\\192.168.100.169\Comun\00. Proiecte 2026\9999. 2026.07.17 - P1 2.1.2. Platformă regională pilot de open-inovation în domeniul smart-city\1.DOCUMENTE OFICIALE\ANEXE\Anexa 15 - Declaratie ajutoare de stat si minimis.docx</t>
        </is>
      </c>
      <c r="C566" s="2" t="inlineStr">
        <is>
          <t>Anexa 15 - Declaratie ajutoare de stat si minimis.docx</t>
        </is>
      </c>
      <c r="D566" s="2" t="inlineStr">
        <is>
          <t>.docx</t>
        </is>
      </c>
      <c r="E566" s="2" t="n">
        <v>915956</v>
      </c>
      <c r="F566" s="2" t="inlineStr">
        <is>
          <t>2026-06-25T14:27:52</t>
        </is>
      </c>
      <c r="G566" s="2" t="inlineStr">
        <is>
          <t>text Word integral</t>
        </is>
      </c>
      <c r="H566" s="2" t="inlineStr"/>
    </row>
    <row r="567">
      <c r="A567" s="2" t="inlineStr">
        <is>
          <t>\\192.168.100.169\Comun\00. Proiecte 2026</t>
        </is>
      </c>
      <c r="B567" s="2" t="inlineStr">
        <is>
          <t>\\192.168.100.169\Comun\00. Proiecte 2026\9999. 2026.07.17 - P1 2.1.2. Platformă regională pilot de open-inovation în domeniul smart-city\1.DOCUMENTE OFICIALE\ANEXE\Anexa 2 - Declaratie Unica.docx</t>
        </is>
      </c>
      <c r="C567" s="2" t="inlineStr">
        <is>
          <t>Anexa 2 - Declaratie Unica.docx</t>
        </is>
      </c>
      <c r="D567" s="2" t="inlineStr">
        <is>
          <t>.docx</t>
        </is>
      </c>
      <c r="E567" s="2" t="n">
        <v>919402</v>
      </c>
      <c r="F567" s="2" t="inlineStr">
        <is>
          <t>2026-06-25T14:27:54</t>
        </is>
      </c>
      <c r="G567" s="2" t="inlineStr">
        <is>
          <t>text Word integral</t>
        </is>
      </c>
      <c r="H567" s="2" t="inlineStr"/>
    </row>
    <row r="568">
      <c r="A568" s="2" t="inlineStr">
        <is>
          <t>\\192.168.100.169\Comun\00. Proiecte 2026</t>
        </is>
      </c>
      <c r="B568" s="2" t="inlineStr">
        <is>
          <t>\\192.168.100.169\Comun\00. Proiecte 2026\9999. 2026.07.17 - P1 2.1.2. Platformă regională pilot de open-inovation în domeniul smart-city\1.DOCUMENTE OFICIALE\ANEXE\Anexa 3 - Grila verificare eligibilitate contractare_133_212.docx</t>
        </is>
      </c>
      <c r="C568" s="2" t="inlineStr">
        <is>
          <t>Anexa 3 - Grila verificare eligibilitate contractare_133_212.docx</t>
        </is>
      </c>
      <c r="D568" s="2" t="inlineStr">
        <is>
          <t>.docx</t>
        </is>
      </c>
      <c r="E568" s="2" t="n">
        <v>705787</v>
      </c>
      <c r="F568" s="2" t="inlineStr">
        <is>
          <t>2026-06-25T14:27:55</t>
        </is>
      </c>
      <c r="G568" s="2" t="inlineStr">
        <is>
          <t>text Word integral</t>
        </is>
      </c>
      <c r="H568" s="2" t="inlineStr"/>
    </row>
    <row r="569">
      <c r="A569" s="2" t="inlineStr">
        <is>
          <t>\\192.168.100.169\Comun\00. Proiecte 2026</t>
        </is>
      </c>
      <c r="B569" s="2" t="inlineStr">
        <is>
          <t>\\192.168.100.169\Comun\00. Proiecte 2026\9999. 2026.07.17 - P1 2.1.2. Platformă regională pilot de open-inovation în domeniul smart-city\1.DOCUMENTE OFICIALE\ANEXE\Anexa 4 - Grila_ETF 1.3.3_si_2.1.2 15.05.2026.docx</t>
        </is>
      </c>
      <c r="C569" s="2" t="inlineStr">
        <is>
          <t>Anexa 4 - Grila_ETF 1.3.3_si_2.1.2 15.05.2026.docx</t>
        </is>
      </c>
      <c r="D569" s="2" t="inlineStr">
        <is>
          <t>.docx</t>
        </is>
      </c>
      <c r="E569" s="2" t="n">
        <v>937875</v>
      </c>
      <c r="F569" s="2" t="inlineStr">
        <is>
          <t>2026-06-25T14:27:55</t>
        </is>
      </c>
      <c r="G569" s="2" t="inlineStr">
        <is>
          <t>text Word integral</t>
        </is>
      </c>
      <c r="H569" s="2" t="inlineStr"/>
    </row>
    <row r="570">
      <c r="A570" s="2" t="inlineStr">
        <is>
          <t>\\192.168.100.169\Comun\00. Proiecte 2026</t>
        </is>
      </c>
      <c r="B570" s="2" t="inlineStr">
        <is>
          <t>\\192.168.100.169\Comun\00. Proiecte 2026\9999. 2026.07.17 - P1 2.1.2. Platformă regională pilot de open-inovation în domeniul smart-city\1.DOCUMENTE OFICIALE\ANEXE\Anexa 5.1 - Planul operational al platformei de inovare deschisa Centru.docx</t>
        </is>
      </c>
      <c r="C570" s="2" t="inlineStr">
        <is>
          <t>Anexa 5.1 - Planul operational al platformei de inovare deschisa Centru.docx</t>
        </is>
      </c>
      <c r="D570" s="2" t="inlineStr">
        <is>
          <t>.docx</t>
        </is>
      </c>
      <c r="E570" s="2" t="n">
        <v>942284</v>
      </c>
      <c r="F570" s="2" t="inlineStr">
        <is>
          <t>2026-06-25T14:27:55</t>
        </is>
      </c>
      <c r="G570" s="2" t="inlineStr">
        <is>
          <t>text Word integral</t>
        </is>
      </c>
      <c r="H570" s="2" t="inlineStr"/>
    </row>
    <row r="571">
      <c r="A571" s="2" t="inlineStr">
        <is>
          <t>\\192.168.100.169\Comun\00. Proiecte 2026</t>
        </is>
      </c>
      <c r="B571" s="2" t="inlineStr">
        <is>
          <t>\\192.168.100.169\Comun\00. Proiecte 2026\9999. 2026.07.17 - P1 2.1.2. Platformă regională pilot de open-inovation în domeniul smart-city\1.DOCUMENTE OFICIALE\ANEXE\Anexa 5.2 - Planul operational al platformei de inovare deschisa smart city.docx</t>
        </is>
      </c>
      <c r="C571" s="2" t="inlineStr">
        <is>
          <t>Anexa 5.2 - Planul operational al platformei de inovare deschisa smart city.docx</t>
        </is>
      </c>
      <c r="D571" s="2" t="inlineStr">
        <is>
          <t>.docx</t>
        </is>
      </c>
      <c r="E571" s="2" t="n">
        <v>941029</v>
      </c>
      <c r="F571" s="2" t="inlineStr">
        <is>
          <t>2026-06-25T14:27:56</t>
        </is>
      </c>
      <c r="G571" s="2" t="inlineStr">
        <is>
          <t>text Word integral</t>
        </is>
      </c>
      <c r="H571" s="2" t="inlineStr"/>
    </row>
    <row r="572">
      <c r="A572" s="2" t="inlineStr">
        <is>
          <t>\\192.168.100.169\Comun\00. Proiecte 2026</t>
        </is>
      </c>
      <c r="B572" s="2" t="inlineStr">
        <is>
          <t>\\192.168.100.169\Comun\00. Proiecte 2026\9999. 2026.07.17 - P1 2.1.2. Platformă regională pilot de open-inovation în domeniul smart-city\1.DOCUMENTE OFICIALE\ANEXE\Anexa 6 - Model orientativ hotarare de aprobare a proiectului.docx</t>
        </is>
      </c>
      <c r="C572" s="2" t="inlineStr">
        <is>
          <t>Anexa 6 - Model orientativ hotarare de aprobare a proiectului.docx</t>
        </is>
      </c>
      <c r="D572" s="2" t="inlineStr">
        <is>
          <t>.docx</t>
        </is>
      </c>
      <c r="E572" s="2" t="n">
        <v>901315</v>
      </c>
      <c r="F572" s="2" t="inlineStr">
        <is>
          <t>2026-06-25T14:27:56</t>
        </is>
      </c>
      <c r="G572" s="2" t="inlineStr">
        <is>
          <t>text Word integral</t>
        </is>
      </c>
      <c r="H572" s="2" t="inlineStr"/>
    </row>
    <row r="573">
      <c r="A573" s="2" t="inlineStr">
        <is>
          <t>\\192.168.100.169\Comun\00. Proiecte 2026</t>
        </is>
      </c>
      <c r="B573" s="2" t="inlineStr">
        <is>
          <t>\\192.168.100.169\Comun\00. Proiecte 2026\9999. 2026.07.17 - P1 2.1.2. Platformă regională pilot de open-inovation în domeniul smart-city\1.DOCUMENTE OFICIALE\ANEXE\Anexa 7 Macheta financiara platforme.xlsx</t>
        </is>
      </c>
      <c r="C573" s="2" t="inlineStr">
        <is>
          <t>Anexa 7 Macheta financiara platforme.xlsx</t>
        </is>
      </c>
      <c r="D573" s="2" t="inlineStr">
        <is>
          <t>.xlsx</t>
        </is>
      </c>
      <c r="E573" s="2" t="n">
        <v>132098</v>
      </c>
      <c r="F573" s="2" t="inlineStr">
        <is>
          <t>2026-06-25T14:27:57</t>
        </is>
      </c>
      <c r="G573" s="2" t="inlineStr">
        <is>
          <t>valori Excel; fără obiecte încorporate</t>
        </is>
      </c>
      <c r="H573" s="2" t="inlineStr"/>
    </row>
    <row r="574">
      <c r="A574" s="2" t="inlineStr">
        <is>
          <t>\\192.168.100.169\Comun\00. Proiecte 2026</t>
        </is>
      </c>
      <c r="B574" s="2" t="inlineStr">
        <is>
          <t>\\192.168.100.169\Comun\00. Proiecte 2026\9999. 2026.07.17 - P1 2.1.2. Platformă regională pilot de open-inovation în domeniul smart-city\1.DOCUMENTE OFICIALE\ANEXE\Anexa 7.1 - Checklist verificare a analizei financiare.docx</t>
        </is>
      </c>
      <c r="C574" s="2" t="inlineStr">
        <is>
          <t>Anexa 7.1 - Checklist verificare a analizei financiare.docx</t>
        </is>
      </c>
      <c r="D574" s="2" t="inlineStr">
        <is>
          <t>.docx</t>
        </is>
      </c>
      <c r="E574" s="2" t="n">
        <v>53740</v>
      </c>
      <c r="F574" s="2" t="inlineStr">
        <is>
          <t>2026-06-25T14:27:57</t>
        </is>
      </c>
      <c r="G574" s="2" t="inlineStr">
        <is>
          <t>text Word integral</t>
        </is>
      </c>
      <c r="H574" s="2" t="inlineStr"/>
    </row>
    <row r="575">
      <c r="A575" s="2" t="inlineStr">
        <is>
          <t>\\192.168.100.169\Comun\00. Proiecte 2026</t>
        </is>
      </c>
      <c r="B575" s="2" t="inlineStr">
        <is>
          <t>\\192.168.100.169\Comun\00. Proiecte 2026\9999. 2026.07.17 - P1 2.1.2. Platformă regională pilot de open-inovation în domeniul smart-city\1.DOCUMENTE OFICIALE\ANEXE\Anexa 8 - Declaratie privind eligibilitatea TVA.docx</t>
        </is>
      </c>
      <c r="C575" s="2" t="inlineStr">
        <is>
          <t>Anexa 8 - Declaratie privind eligibilitatea TVA.docx</t>
        </is>
      </c>
      <c r="D575" s="2" t="inlineStr">
        <is>
          <t>.docx</t>
        </is>
      </c>
      <c r="E575" s="2" t="n">
        <v>908151</v>
      </c>
      <c r="F575" s="2" t="inlineStr">
        <is>
          <t>2026-06-25T14:27:57</t>
        </is>
      </c>
      <c r="G575" s="2" t="inlineStr">
        <is>
          <t>text Word integral</t>
        </is>
      </c>
      <c r="H575" s="2" t="inlineStr"/>
    </row>
    <row r="576">
      <c r="A576" s="2" t="inlineStr">
        <is>
          <t>\\192.168.100.169\Comun\00. Proiecte 2026</t>
        </is>
      </c>
      <c r="B576" s="2" t="inlineStr">
        <is>
          <t>\\192.168.100.169\Comun\00. Proiecte 2026\9999. 2026.07.17 - P1 2.1.2. Platformă regională pilot de open-inovation în domeniul smart-city\1.DOCUMENTE OFICIALE\ANEXE\Anexa 9 - Declaratie conformitate documentelor din MySMIS.docx</t>
        </is>
      </c>
      <c r="C576" s="2" t="inlineStr">
        <is>
          <t>Anexa 9 - Declaratie conformitate documentelor din MySMIS.docx</t>
        </is>
      </c>
      <c r="D576" s="2" t="inlineStr">
        <is>
          <t>.docx</t>
        </is>
      </c>
      <c r="E576" s="2" t="n">
        <v>900826</v>
      </c>
      <c r="F576" s="2" t="inlineStr">
        <is>
          <t>2026-06-25T14:27:58</t>
        </is>
      </c>
      <c r="G576" s="2" t="inlineStr">
        <is>
          <t>text Word integral</t>
        </is>
      </c>
      <c r="H576" s="2" t="inlineStr"/>
    </row>
    <row r="577">
      <c r="A577" s="2" t="inlineStr">
        <is>
          <t>\\192.168.100.169\Comun\00. Proiecte 2026</t>
        </is>
      </c>
      <c r="B577" s="2" t="inlineStr">
        <is>
          <t>\\192.168.100.169\Comun\00. Proiecte 2026\lina\02.02.2027 - HORIZON CL4 2027 02 DIGITAL EMERGING 52\wp-7-digital-industry-and-space_horizon-2026-2027_en (1).pdf</t>
        </is>
      </c>
      <c r="C577" s="2" t="inlineStr">
        <is>
          <t>wp-7-digital-industry-and-space_horizon-2026-2027_en (1).pdf</t>
        </is>
      </c>
      <c r="D577" s="2" t="inlineStr">
        <is>
          <t>.pdf</t>
        </is>
      </c>
      <c r="E577" s="2" t="n">
        <v>2263869</v>
      </c>
      <c r="F577" s="2" t="inlineStr">
        <is>
          <t>2026-07-23T12:47:46</t>
        </is>
      </c>
      <c r="G577" s="2" t="inlineStr">
        <is>
          <t>text PDF integral</t>
        </is>
      </c>
      <c r="H577" s="2" t="inlineStr"/>
    </row>
    <row r="578">
      <c r="A578" s="2" t="inlineStr">
        <is>
          <t>\\192.168.100.169\Comun\00. Proiecte 2026</t>
        </is>
      </c>
      <c r="B578" s="2" t="inlineStr">
        <is>
          <t>\\192.168.100.169\Comun\00. Proiecte 2026\lina\02.02.2027 HORIZON CL4 2027 01 MAT PROD 02\wp-7-digital-industry-and-space_horizon-2026-2027_en.pdf</t>
        </is>
      </c>
      <c r="C578" s="2" t="inlineStr">
        <is>
          <t>wp-7-digital-industry-and-space_horizon-2026-2027_en.pdf</t>
        </is>
      </c>
      <c r="D578" s="2" t="inlineStr">
        <is>
          <t>.pdf</t>
        </is>
      </c>
      <c r="E578" s="2" t="n">
        <v>2263869</v>
      </c>
      <c r="F578" s="2" t="inlineStr">
        <is>
          <t>2026-07-23T12:46:48</t>
        </is>
      </c>
      <c r="G578" s="2" t="inlineStr">
        <is>
          <t>text PDF integral</t>
        </is>
      </c>
      <c r="H578" s="2" t="inlineStr"/>
    </row>
    <row r="579">
      <c r="A579" s="2" t="inlineStr">
        <is>
          <t>\\192.168.100.169\Comun\00. Proiecte 2026</t>
        </is>
      </c>
      <c r="B579" s="2" t="inlineStr">
        <is>
          <t>\\192.168.100.169\Comun\00. Proiecte 2026\lina\02.09.2026-04.11.2026 - eic accelerator open\download (1).pdf</t>
        </is>
      </c>
      <c r="C579" s="2" t="inlineStr">
        <is>
          <t>download (1).pdf</t>
        </is>
      </c>
      <c r="D579" s="2" t="inlineStr">
        <is>
          <t>.pdf</t>
        </is>
      </c>
      <c r="E579" s="2" t="n">
        <v>358310</v>
      </c>
      <c r="F579" s="2" t="inlineStr">
        <is>
          <t>2026-07-23T12:35:09</t>
        </is>
      </c>
      <c r="G579" s="2" t="inlineStr">
        <is>
          <t>text PDF integral</t>
        </is>
      </c>
      <c r="H579" s="2" t="inlineStr"/>
    </row>
    <row r="580">
      <c r="A580" s="2" t="inlineStr">
        <is>
          <t>\\192.168.100.169\Comun\00. Proiecte 2026</t>
        </is>
      </c>
      <c r="B580" s="2" t="inlineStr">
        <is>
          <t>\\192.168.100.169\Comun\00. Proiecte 2026\lina\02.09.2026-04.11.2026 - eic accelerator open\download (2).pdf</t>
        </is>
      </c>
      <c r="C580" s="2" t="inlineStr">
        <is>
          <t>download (2).pdf</t>
        </is>
      </c>
      <c r="D580" s="2" t="inlineStr">
        <is>
          <t>.pdf</t>
        </is>
      </c>
      <c r="E580" s="2" t="n">
        <v>306928</v>
      </c>
      <c r="F580" s="2" t="inlineStr">
        <is>
          <t>2026-07-23T12:35:18</t>
        </is>
      </c>
      <c r="G580" s="2" t="inlineStr">
        <is>
          <t>text PDF integral</t>
        </is>
      </c>
      <c r="H580" s="2" t="inlineStr"/>
    </row>
    <row r="581">
      <c r="A581" s="2" t="inlineStr">
        <is>
          <t>\\192.168.100.169\Comun\00. Proiecte 2026</t>
        </is>
      </c>
      <c r="B581" s="2" t="inlineStr">
        <is>
          <t>\\192.168.100.169\Comun\00. Proiecte 2026\lina\02.09.2026-04.11.2026 - eic accelerator open\download.pdf</t>
        </is>
      </c>
      <c r="C581" s="2" t="inlineStr">
        <is>
          <t>download.pdf</t>
        </is>
      </c>
      <c r="D581" s="2" t="inlineStr">
        <is>
          <t>.pdf</t>
        </is>
      </c>
      <c r="E581" s="2" t="n">
        <v>372918</v>
      </c>
      <c r="F581" s="2" t="inlineStr">
        <is>
          <t>2026-07-23T12:35:01</t>
        </is>
      </c>
      <c r="G581" s="2" t="inlineStr">
        <is>
          <t>text PDF integral</t>
        </is>
      </c>
      <c r="H581" s="2" t="inlineStr"/>
    </row>
    <row r="582">
      <c r="A582" s="2" t="inlineStr">
        <is>
          <t>\\192.168.100.169\Comun\00. Proiecte 2026</t>
        </is>
      </c>
      <c r="B582" s="2" t="inlineStr">
        <is>
          <t>\\192.168.100.169\Comun\00. Proiecte 2026\lina\02.09.2026-04.11.2026 - eic accelerator open\EIC-Work-Programme-2026.pdf</t>
        </is>
      </c>
      <c r="C582" s="2" t="inlineStr">
        <is>
          <t>EIC-Work-Programme-2026.pdf</t>
        </is>
      </c>
      <c r="D582" s="2" t="inlineStr">
        <is>
          <t>.pdf</t>
        </is>
      </c>
      <c r="E582" s="2" t="n">
        <v>2083032</v>
      </c>
      <c r="F582" s="2" t="inlineStr">
        <is>
          <t>2026-07-23T12:33:48</t>
        </is>
      </c>
      <c r="G582" s="2" t="inlineStr">
        <is>
          <t>text PDF integral</t>
        </is>
      </c>
      <c r="H582" s="2" t="inlineStr">
        <is>
          <t xml:space="preserve">   EUR 100 000   EUR 70 000   EUR 50 000   ‘Rising Innovators’ category   1st prize   2nd prize   3rd prize      EUR 50 000   EUR 30 000   EUR 20 000      IX.2 The European Capital of Innovation Awards (iCapital)   Cities and/or towns are faced with most severe societal and sustainability challenges  but do also have the means to </t>
        </is>
      </c>
    </row>
    <row r="583">
      <c r="A583" s="2" t="inlineStr">
        <is>
          <t>\\192.168.100.169\Comun\00. Proiecte 2026</t>
        </is>
      </c>
      <c r="B583" s="2" t="inlineStr">
        <is>
          <t>\\192.168.100.169\Comun\00. Proiecte 2026\lina\02.09.2026-04.11.2026 - eic accelerator open\EIC-Work-Programme-march-2026.pdf</t>
        </is>
      </c>
      <c r="C583" s="2" t="inlineStr">
        <is>
          <t>EIC-Work-Programme-march-2026.pdf</t>
        </is>
      </c>
      <c r="D583" s="2" t="inlineStr">
        <is>
          <t>.pdf</t>
        </is>
      </c>
      <c r="E583" s="2" t="n">
        <v>1386108</v>
      </c>
      <c r="F583" s="2" t="inlineStr">
        <is>
          <t>2026-07-23T12:35:31</t>
        </is>
      </c>
      <c r="G583" s="2" t="inlineStr">
        <is>
          <t>text PDF integral</t>
        </is>
      </c>
      <c r="H583" s="2" t="inlineStr">
        <is>
          <t xml:space="preserve">   EUR 100 000   EUR 70 000   EUR 50 000   ‘Rising Innovators’ category   1st prize   2nd prize   3rd prize      EUR 50 000   EUR 30 000   EUR 20 000      VIII.2 The European Capital of Innovation Awards (iCapital)   Cities and/or towns are faced with most severe societal and sustainability challenges  but do also have the means t</t>
        </is>
      </c>
    </row>
    <row r="584">
      <c r="A584" s="2" t="inlineStr">
        <is>
          <t>\\192.168.100.169\Comun\00. Proiecte 2026</t>
        </is>
      </c>
      <c r="B584" s="2" t="inlineStr">
        <is>
          <t>\\192.168.100.169\Comun\00. Proiecte 2026\lina\02.09.2026-04.11.2026 - eic accelerator open\EIC_factsheet_v40 4.pdf</t>
        </is>
      </c>
      <c r="C584" s="2" t="inlineStr">
        <is>
          <t>EIC_factsheet_v40 4.pdf</t>
        </is>
      </c>
      <c r="D584" s="2" t="inlineStr">
        <is>
          <t>.pdf</t>
        </is>
      </c>
      <c r="E584" s="2" t="n">
        <v>149505</v>
      </c>
      <c r="F584" s="2" t="inlineStr">
        <is>
          <t>2026-07-23T12:34:52</t>
        </is>
      </c>
      <c r="G584" s="2" t="inlineStr">
        <is>
          <t>text PDF integral</t>
        </is>
      </c>
      <c r="H584" s="2" t="inlineStr"/>
    </row>
    <row r="585">
      <c r="A585" s="2" t="inlineStr">
        <is>
          <t>\\192.168.100.169\Comun\00. Proiecte 2026</t>
        </is>
      </c>
      <c r="B585" s="2" t="inlineStr">
        <is>
          <t>\\192.168.100.169\Comun\00. Proiecte 2026\lina\09.09.2026 - HORIZON MSCA 2026 PF 01\wp-2-marie-sklodowska-curie-actions_horizon-2026-2027_en.pdf</t>
        </is>
      </c>
      <c r="C585" s="2" t="inlineStr">
        <is>
          <t>wp-2-marie-sklodowska-curie-actions_horizon-2026-2027_en.pdf</t>
        </is>
      </c>
      <c r="D585" s="2" t="inlineStr">
        <is>
          <t>.pdf</t>
        </is>
      </c>
      <c r="E585" s="2" t="n">
        <v>3799357</v>
      </c>
      <c r="F585" s="2" t="inlineStr">
        <is>
          <t>2026-07-23T12:43:47</t>
        </is>
      </c>
      <c r="G585" s="2" t="inlineStr">
        <is>
          <t>text PDF integral</t>
        </is>
      </c>
      <c r="H585" s="2" t="inlineStr"/>
    </row>
    <row r="586">
      <c r="A586" s="2" t="inlineStr">
        <is>
          <t>\\192.168.100.169\Comun\00. Proiecte 2026</t>
        </is>
      </c>
      <c r="B586" s="2" t="inlineStr">
        <is>
          <t>\\192.168.100.169\Comun\00. Proiecte 2026\lina\10.09.2026 - EUROSTARS CALL 11\Commitment-and-signature-form.pdf</t>
        </is>
      </c>
      <c r="C586" s="2" t="inlineStr">
        <is>
          <t>Commitment-and-signature-form.pdf</t>
        </is>
      </c>
      <c r="D586" s="2" t="inlineStr">
        <is>
          <t>.pdf</t>
        </is>
      </c>
      <c r="E586" s="2" t="n">
        <v>152202</v>
      </c>
      <c r="F586" s="2" t="inlineStr">
        <is>
          <t>2026-07-23T12:30:09</t>
        </is>
      </c>
      <c r="G586" s="2" t="inlineStr">
        <is>
          <t>text PDF integral</t>
        </is>
      </c>
      <c r="H586" s="2" t="inlineStr"/>
    </row>
    <row r="587">
      <c r="A587" s="2" t="inlineStr">
        <is>
          <t>\\192.168.100.169\Comun\00. Proiecte 2026</t>
        </is>
      </c>
      <c r="B587" s="2" t="inlineStr">
        <is>
          <t>\\192.168.100.169\Comun\00. Proiecte 2026\lina\10.09.2026 - EUROSTARS CALL 11\EPMP-New-Login-Method.pdf</t>
        </is>
      </c>
      <c r="C587" s="2" t="inlineStr">
        <is>
          <t>EPMP-New-Login-Method.pdf</t>
        </is>
      </c>
      <c r="D587" s="2" t="inlineStr">
        <is>
          <t>.pdf</t>
        </is>
      </c>
      <c r="E587" s="2" t="n">
        <v>175297</v>
      </c>
      <c r="F587" s="2" t="inlineStr">
        <is>
          <t>2026-07-23T12:29:09</t>
        </is>
      </c>
      <c r="G587" s="2" t="inlineStr">
        <is>
          <t>text PDF integral</t>
        </is>
      </c>
      <c r="H587" s="2" t="inlineStr"/>
    </row>
    <row r="588">
      <c r="A588" s="2" t="inlineStr">
        <is>
          <t>\\192.168.100.169\Comun\00. Proiecte 2026</t>
        </is>
      </c>
      <c r="B588" s="2" t="inlineStr">
        <is>
          <t>\\192.168.100.169\Comun\00. Proiecte 2026\lina\10.09.2026 - EUROSTARS CALL 11\eurostars-application-form.docx</t>
        </is>
      </c>
      <c r="C588" s="2" t="inlineStr">
        <is>
          <t>eurostars-application-form.docx</t>
        </is>
      </c>
      <c r="D588" s="2" t="inlineStr">
        <is>
          <t>.docx</t>
        </is>
      </c>
      <c r="E588" s="2" t="n">
        <v>217750</v>
      </c>
      <c r="F588" s="2" t="inlineStr">
        <is>
          <t>2026-07-23T12:28:34</t>
        </is>
      </c>
      <c r="G588" s="2" t="inlineStr">
        <is>
          <t>text Word integral</t>
        </is>
      </c>
      <c r="H588" s="2" t="inlineStr"/>
    </row>
    <row r="589">
      <c r="A589" s="2" t="inlineStr">
        <is>
          <t>\\192.168.100.169\Comun\00. Proiecte 2026</t>
        </is>
      </c>
      <c r="B589" s="2" t="inlineStr">
        <is>
          <t>\\192.168.100.169\Comun\00. Proiecte 2026\lina\10.09.2026 - EUROSTARS CALL 11\eurostars-application-platform-guidelines.pdf</t>
        </is>
      </c>
      <c r="C589" s="2" t="inlineStr">
        <is>
          <t>eurostars-application-platform-guidelines.pdf</t>
        </is>
      </c>
      <c r="D589" s="2" t="inlineStr">
        <is>
          <t>.pdf</t>
        </is>
      </c>
      <c r="E589" s="2" t="n">
        <v>2173919</v>
      </c>
      <c r="F589" s="2" t="inlineStr">
        <is>
          <t>2026-07-23T12:29:00</t>
        </is>
      </c>
      <c r="G589" s="2" t="inlineStr">
        <is>
          <t>text PDF integral</t>
        </is>
      </c>
      <c r="H589" s="2" t="inlineStr"/>
    </row>
    <row r="590">
      <c r="A590" s="2" t="inlineStr">
        <is>
          <t>\\192.168.100.169\Comun\00. Proiecte 2026</t>
        </is>
      </c>
      <c r="B590" s="2" t="inlineStr">
        <is>
          <t>\\192.168.100.169\Comun\00. Proiecte 2026\lina\10.09.2026 - EUROSTARS CALL 11\eurostars-eligibility-guidelines.pdf</t>
        </is>
      </c>
      <c r="C590" s="2" t="inlineStr">
        <is>
          <t>eurostars-eligibility-guidelines.pdf</t>
        </is>
      </c>
      <c r="D590" s="2" t="inlineStr">
        <is>
          <t>.pdf</t>
        </is>
      </c>
      <c r="E590" s="2" t="n">
        <v>414865</v>
      </c>
      <c r="F590" s="2" t="inlineStr">
        <is>
          <t>2026-07-23T12:29:32</t>
        </is>
      </c>
      <c r="G590" s="2" t="inlineStr">
        <is>
          <t>text PDF integral</t>
        </is>
      </c>
      <c r="H590" s="2" t="inlineStr"/>
    </row>
    <row r="591">
      <c r="A591" s="2" t="inlineStr">
        <is>
          <t>\\192.168.100.169\Comun\00. Proiecte 2026</t>
        </is>
      </c>
      <c r="B591" s="2" t="inlineStr">
        <is>
          <t>\\192.168.100.169\Comun\00. Proiecte 2026\lina\10.09.2026 - EUROSTARS CALL 11\eurostars-ethics-appraisal-process.pdf</t>
        </is>
      </c>
      <c r="C591" s="2" t="inlineStr">
        <is>
          <t>eurostars-ethics-appraisal-process.pdf</t>
        </is>
      </c>
      <c r="D591" s="2" t="inlineStr">
        <is>
          <t>.pdf</t>
        </is>
      </c>
      <c r="E591" s="2" t="n">
        <v>231584</v>
      </c>
      <c r="F591" s="2" t="inlineStr">
        <is>
          <t>2026-07-23T12:30:53</t>
        </is>
      </c>
      <c r="G591" s="2" t="inlineStr">
        <is>
          <t>text PDF integral</t>
        </is>
      </c>
      <c r="H591" s="2" t="inlineStr"/>
    </row>
    <row r="592">
      <c r="A592" s="2" t="inlineStr">
        <is>
          <t>\\192.168.100.169\Comun\00. Proiecte 2026</t>
        </is>
      </c>
      <c r="B592" s="2" t="inlineStr">
        <is>
          <t>\\192.168.100.169\Comun\00. Proiecte 2026\lina\10.09.2026 - EUROSTARS CALL 11\eurostars-ethics-table.pdf</t>
        </is>
      </c>
      <c r="C592" s="2" t="inlineStr">
        <is>
          <t>eurostars-ethics-table.pdf</t>
        </is>
      </c>
      <c r="D592" s="2" t="inlineStr">
        <is>
          <t>.pdf</t>
        </is>
      </c>
      <c r="E592" s="2" t="n">
        <v>715781</v>
      </c>
      <c r="F592" s="2" t="inlineStr">
        <is>
          <t>2026-07-23T12:29:21</t>
        </is>
      </c>
      <c r="G592" s="2" t="inlineStr">
        <is>
          <t>text PDF integral</t>
        </is>
      </c>
      <c r="H592" s="2" t="inlineStr"/>
    </row>
    <row r="593">
      <c r="A593" s="2" t="inlineStr">
        <is>
          <t>\\192.168.100.169\Comun\00. Proiecte 2026</t>
        </is>
      </c>
      <c r="B593" s="2" t="inlineStr">
        <is>
          <t>\\192.168.100.169\Comun\00. Proiecte 2026\lina\10.09.2026 - EUROSTARS CALL 11\eurostars-legal-financial-viability-check-guidelines.pdf</t>
        </is>
      </c>
      <c r="C593" s="2" t="inlineStr">
        <is>
          <t>eurostars-legal-financial-viability-check-guidelines.pdf</t>
        </is>
      </c>
      <c r="D593" s="2" t="inlineStr">
        <is>
          <t>.pdf</t>
        </is>
      </c>
      <c r="E593" s="2" t="n">
        <v>571642</v>
      </c>
      <c r="F593" s="2" t="inlineStr">
        <is>
          <t>2026-07-23T12:29:46</t>
        </is>
      </c>
      <c r="G593" s="2" t="inlineStr">
        <is>
          <t>text PDF integral</t>
        </is>
      </c>
      <c r="H593" s="2" t="inlineStr"/>
    </row>
    <row r="594">
      <c r="A594" s="2" t="inlineStr">
        <is>
          <t>\\192.168.100.169\Comun\00. Proiecte 2026</t>
        </is>
      </c>
      <c r="B594" s="2" t="inlineStr">
        <is>
          <t>\\192.168.100.169\Comun\00. Proiecte 2026\lina\10.09.2026 - EUROSTARS CALL 11\eurostars-obtaining-pic-number.pdf</t>
        </is>
      </c>
      <c r="C594" s="2" t="inlineStr">
        <is>
          <t>eurostars-obtaining-pic-number.pdf</t>
        </is>
      </c>
      <c r="D594" s="2" t="inlineStr">
        <is>
          <t>.pdf</t>
        </is>
      </c>
      <c r="E594" s="2" t="n">
        <v>578801</v>
      </c>
      <c r="F594" s="2" t="inlineStr">
        <is>
          <t>2026-07-23T12:28:28</t>
        </is>
      </c>
      <c r="G594" s="2" t="inlineStr">
        <is>
          <t>text PDF integral</t>
        </is>
      </c>
      <c r="H594" s="2" t="inlineStr"/>
    </row>
    <row r="595">
      <c r="A595" s="2" t="inlineStr">
        <is>
          <t>\\192.168.100.169\Comun\00. Proiecte 2026</t>
        </is>
      </c>
      <c r="B595" s="2" t="inlineStr">
        <is>
          <t>\\192.168.100.169\Comun\00. Proiecte 2026\lina\10.09.2026 - EUROSTARS CALL 11\eurostars-redress-procedure-guidelines.pdf</t>
        </is>
      </c>
      <c r="C595" s="2" t="inlineStr">
        <is>
          <t>eurostars-redress-procedure-guidelines.pdf</t>
        </is>
      </c>
      <c r="D595" s="2" t="inlineStr">
        <is>
          <t>.pdf</t>
        </is>
      </c>
      <c r="E595" s="2" t="n">
        <v>397168</v>
      </c>
      <c r="F595" s="2" t="inlineStr">
        <is>
          <t>2026-07-23T12:31:01</t>
        </is>
      </c>
      <c r="G595" s="2" t="inlineStr">
        <is>
          <t>text PDF integral</t>
        </is>
      </c>
      <c r="H595" s="2" t="inlineStr"/>
    </row>
    <row r="596">
      <c r="A596" s="2" t="inlineStr">
        <is>
          <t>\\192.168.100.169\Comun\00. Proiecte 2026</t>
        </is>
      </c>
      <c r="B596" s="2" t="inlineStr">
        <is>
          <t>\\192.168.100.169\Comun\00. Proiecte 2026\lina\10.09.2026 - EUROSTARS CALL 11\expert-assessment-form.docx</t>
        </is>
      </c>
      <c r="C596" s="2" t="inlineStr">
        <is>
          <t>expert-assessment-form.docx</t>
        </is>
      </c>
      <c r="D596" s="2" t="inlineStr">
        <is>
          <t>.docx</t>
        </is>
      </c>
      <c r="E596" s="2" t="n">
        <v>163330</v>
      </c>
      <c r="F596" s="2" t="inlineStr">
        <is>
          <t>2026-07-23T12:31:24</t>
        </is>
      </c>
      <c r="G596" s="2" t="inlineStr">
        <is>
          <t>text Word integral</t>
        </is>
      </c>
      <c r="H596" s="2" t="inlineStr"/>
    </row>
    <row r="597">
      <c r="A597" s="2" t="inlineStr">
        <is>
          <t>\\192.168.100.169\Comun\00. Proiecte 2026</t>
        </is>
      </c>
      <c r="B597" s="2" t="inlineStr">
        <is>
          <t>\\192.168.100.169\Comun\00. Proiecte 2026\lina\10.09.2026 - EUROSTARS CALL 11\guidelines-for-participating-eurostars-project.pdf</t>
        </is>
      </c>
      <c r="C597" s="2" t="inlineStr">
        <is>
          <t>guidelines-for-participating-eurostars-project.pdf</t>
        </is>
      </c>
      <c r="D597" s="2" t="inlineStr">
        <is>
          <t>.pdf</t>
        </is>
      </c>
      <c r="E597" s="2" t="n">
        <v>215146</v>
      </c>
      <c r="F597" s="2" t="inlineStr">
        <is>
          <t>2026-07-23T12:31:42</t>
        </is>
      </c>
      <c r="G597" s="2" t="inlineStr">
        <is>
          <t>text PDF integral</t>
        </is>
      </c>
      <c r="H597" s="2" t="inlineStr"/>
    </row>
    <row r="598">
      <c r="A598" s="2" t="inlineStr">
        <is>
          <t>\\192.168.100.169\Comun\00. Proiecte 2026</t>
        </is>
      </c>
      <c r="B598" s="2" t="inlineStr">
        <is>
          <t>\\192.168.100.169\Comun\00. Proiecte 2026\lina\10.09.2026 - EUROSTARS CALL 11\how-to-complete-commitment-and-signature-form.pdf</t>
        </is>
      </c>
      <c r="C598" s="2" t="inlineStr">
        <is>
          <t>how-to-complete-commitment-and-signature-form.pdf</t>
        </is>
      </c>
      <c r="D598" s="2" t="inlineStr">
        <is>
          <t>.pdf</t>
        </is>
      </c>
      <c r="E598" s="2" t="n">
        <v>455075</v>
      </c>
      <c r="F598" s="2" t="inlineStr">
        <is>
          <t>2026-07-23T12:30:16</t>
        </is>
      </c>
      <c r="G598" s="2" t="inlineStr">
        <is>
          <t>text PDF integral</t>
        </is>
      </c>
      <c r="H598" s="2" t="inlineStr"/>
    </row>
    <row r="599">
      <c r="A599" s="2" t="inlineStr">
        <is>
          <t>\\192.168.100.169\Comun\00. Proiecte 2026</t>
        </is>
      </c>
      <c r="B599" s="2" t="inlineStr">
        <is>
          <t>\\192.168.100.169\Comun\00. Proiecte 2026\lina\10.09.2026 - EUROSTARS CALL 11\how-to-complete-end-of-project-report.pdf</t>
        </is>
      </c>
      <c r="C599" s="2" t="inlineStr">
        <is>
          <t>how-to-complete-end-of-project-report.pdf</t>
        </is>
      </c>
      <c r="D599" s="2" t="inlineStr">
        <is>
          <t>.pdf</t>
        </is>
      </c>
      <c r="E599" s="2" t="n">
        <v>563358</v>
      </c>
      <c r="F599" s="2" t="inlineStr">
        <is>
          <t>2026-07-23T12:32:18</t>
        </is>
      </c>
      <c r="G599" s="2" t="inlineStr">
        <is>
          <t>text PDF integral</t>
        </is>
      </c>
      <c r="H599" s="2" t="inlineStr"/>
    </row>
    <row r="600">
      <c r="A600" s="2" t="inlineStr">
        <is>
          <t>\\192.168.100.169\Comun\00. Proiecte 2026</t>
        </is>
      </c>
      <c r="B600" s="2" t="inlineStr">
        <is>
          <t>\\192.168.100.169\Comun\00. Proiecte 2026\lina\10.09.2026 - EUROSTARS CALL 11\how-to-complete-ethics-self-assessment.pdf</t>
        </is>
      </c>
      <c r="C600" s="2" t="inlineStr">
        <is>
          <t>how-to-complete-ethics-self-assessment.pdf</t>
        </is>
      </c>
      <c r="D600" s="2" t="inlineStr">
        <is>
          <t>.pdf</t>
        </is>
      </c>
      <c r="E600" s="2" t="n">
        <v>1100113</v>
      </c>
      <c r="F600" s="2" t="inlineStr">
        <is>
          <t>2026-07-23T12:29:15</t>
        </is>
      </c>
      <c r="G600" s="2" t="inlineStr">
        <is>
          <t>text PDF integral</t>
        </is>
      </c>
      <c r="H600" s="2" t="inlineStr"/>
    </row>
    <row r="601">
      <c r="A601" s="2" t="inlineStr">
        <is>
          <t>\\192.168.100.169\Comun\00. Proiecte 2026</t>
        </is>
      </c>
      <c r="B601" s="2" t="inlineStr">
        <is>
          <t>\\192.168.100.169\Comun\00. Proiecte 2026\lina\10.09.2026 - EUROSTARS CALL 11\how-to-complete-eurostars-application.pdf</t>
        </is>
      </c>
      <c r="C601" s="2" t="inlineStr">
        <is>
          <t>how-to-complete-eurostars-application.pdf</t>
        </is>
      </c>
      <c r="D601" s="2" t="inlineStr">
        <is>
          <t>.pdf</t>
        </is>
      </c>
      <c r="E601" s="2" t="n">
        <v>512788</v>
      </c>
      <c r="F601" s="2" t="inlineStr">
        <is>
          <t>2026-07-23T12:28:19</t>
        </is>
      </c>
      <c r="G601" s="2" t="inlineStr">
        <is>
          <t>text PDF integral</t>
        </is>
      </c>
      <c r="H601" s="2" t="inlineStr"/>
    </row>
    <row r="602">
      <c r="A602" s="2" t="inlineStr">
        <is>
          <t>\\192.168.100.169\Comun\00. Proiecte 2026</t>
        </is>
      </c>
      <c r="B602" s="2" t="inlineStr">
        <is>
          <t>\\192.168.100.169\Comun\00. Proiecte 2026\lina\10.09.2026 - EUROSTARS CALL 11\how-to-complete-eurostars-consortium-agreement (1).pdf</t>
        </is>
      </c>
      <c r="C602" s="2" t="inlineStr">
        <is>
          <t>how-to-complete-eurostars-consortium-agreement (1).pdf</t>
        </is>
      </c>
      <c r="D602" s="2" t="inlineStr">
        <is>
          <t>.pdf</t>
        </is>
      </c>
      <c r="E602" s="2" t="n">
        <v>798629</v>
      </c>
      <c r="F602" s="2" t="inlineStr">
        <is>
          <t>2026-07-23T12:31:58</t>
        </is>
      </c>
      <c r="G602" s="2" t="inlineStr">
        <is>
          <t>text PDF integral</t>
        </is>
      </c>
      <c r="H602" s="2" t="inlineStr"/>
    </row>
    <row r="603">
      <c r="A603" s="2" t="inlineStr">
        <is>
          <t>\\192.168.100.169\Comun\00. Proiecte 2026</t>
        </is>
      </c>
      <c r="B603" s="2" t="inlineStr">
        <is>
          <t>\\192.168.100.169\Comun\00. Proiecte 2026\lina\10.09.2026 - EUROSTARS CALL 11\how-to-complete-eurostars-consortium-agreement.pdf</t>
        </is>
      </c>
      <c r="C603" s="2" t="inlineStr">
        <is>
          <t>how-to-complete-eurostars-consortium-agreement.pdf</t>
        </is>
      </c>
      <c r="D603" s="2" t="inlineStr">
        <is>
          <t>.pdf</t>
        </is>
      </c>
      <c r="E603" s="2" t="n">
        <v>798629</v>
      </c>
      <c r="F603" s="2" t="inlineStr">
        <is>
          <t>2026-07-23T12:31:55</t>
        </is>
      </c>
      <c r="G603" s="2" t="inlineStr">
        <is>
          <t>text PDF integral</t>
        </is>
      </c>
      <c r="H603" s="2" t="inlineStr"/>
    </row>
    <row r="604">
      <c r="A604" s="2" t="inlineStr">
        <is>
          <t>\\192.168.100.169\Comun\00. Proiecte 2026</t>
        </is>
      </c>
      <c r="B604" s="2" t="inlineStr">
        <is>
          <t>\\192.168.100.169\Comun\00. Proiecte 2026\lina\10.09.2026 - EUROSTARS CALL 11\how-to-complete-sme-declaration.pdf</t>
        </is>
      </c>
      <c r="C604" s="2" t="inlineStr">
        <is>
          <t>how-to-complete-sme-declaration.pdf</t>
        </is>
      </c>
      <c r="D604" s="2" t="inlineStr">
        <is>
          <t>.pdf</t>
        </is>
      </c>
      <c r="E604" s="2" t="n">
        <v>1053469</v>
      </c>
      <c r="F604" s="2" t="inlineStr">
        <is>
          <t>2026-07-23T12:30:05</t>
        </is>
      </c>
      <c r="G604" s="2" t="inlineStr">
        <is>
          <t>text PDF integral</t>
        </is>
      </c>
      <c r="H604" s="2" t="inlineStr"/>
    </row>
    <row r="605">
      <c r="A605" s="2" t="inlineStr">
        <is>
          <t>\\192.168.100.169\Comun\00. Proiecte 2026</t>
        </is>
      </c>
      <c r="B605" s="2" t="inlineStr">
        <is>
          <t>\\192.168.100.169\Comun\00. Proiecte 2026\lina\10.09.2026 - EUROSTARS CALL 11\how-to-request-changes-eurostars-project.pdf</t>
        </is>
      </c>
      <c r="C605" s="2" t="inlineStr">
        <is>
          <t>how-to-request-changes-eurostars-project.pdf</t>
        </is>
      </c>
      <c r="D605" s="2" t="inlineStr">
        <is>
          <t>.pdf</t>
        </is>
      </c>
      <c r="E605" s="2" t="n">
        <v>994907</v>
      </c>
      <c r="F605" s="2" t="inlineStr">
        <is>
          <t>2026-07-23T12:32:04</t>
        </is>
      </c>
      <c r="G605" s="2" t="inlineStr">
        <is>
          <t>text PDF integral</t>
        </is>
      </c>
      <c r="H605" s="2" t="inlineStr"/>
    </row>
    <row r="606">
      <c r="A606" s="2" t="inlineStr">
        <is>
          <t>\\192.168.100.169\Comun\00. Proiecte 2026</t>
        </is>
      </c>
      <c r="B606" s="2" t="inlineStr">
        <is>
          <t>\\192.168.100.169\Comun\00. Proiecte 2026\lina\10.09.2026 - EUROSTARS CALL 11\how-to-submit-project-progress-reports.pdf</t>
        </is>
      </c>
      <c r="C606" s="2" t="inlineStr">
        <is>
          <t>how-to-submit-project-progress-reports.pdf</t>
        </is>
      </c>
      <c r="D606" s="2" t="inlineStr">
        <is>
          <t>.pdf</t>
        </is>
      </c>
      <c r="E606" s="2" t="n">
        <v>1269962</v>
      </c>
      <c r="F606" s="2" t="inlineStr">
        <is>
          <t>2026-07-23T12:32:13</t>
        </is>
      </c>
      <c r="G606" s="2" t="inlineStr">
        <is>
          <t>text PDF integral</t>
        </is>
      </c>
      <c r="H606" s="2" t="inlineStr"/>
    </row>
    <row r="607">
      <c r="A607" s="2" t="inlineStr">
        <is>
          <t>\\192.168.100.169\Comun\00. Proiecte 2026</t>
        </is>
      </c>
      <c r="B607" s="2" t="inlineStr">
        <is>
          <t>\\192.168.100.169\Comun\00. Proiecte 2026\lina\10.09.2026 - EUROSTARS CALL 11\how-we-evaluate-eurostars-applications.pdf</t>
        </is>
      </c>
      <c r="C607" s="2" t="inlineStr">
        <is>
          <t>how-we-evaluate-eurostars-applications.pdf</t>
        </is>
      </c>
      <c r="D607" s="2" t="inlineStr">
        <is>
          <t>.pdf</t>
        </is>
      </c>
      <c r="E607" s="2" t="n">
        <v>351814</v>
      </c>
      <c r="F607" s="2" t="inlineStr">
        <is>
          <t>2026-07-23T12:30:47</t>
        </is>
      </c>
      <c r="G607" s="2" t="inlineStr">
        <is>
          <t>text PDF integral</t>
        </is>
      </c>
      <c r="H607" s="2" t="inlineStr"/>
    </row>
    <row r="608">
      <c r="A608" s="2" t="inlineStr">
        <is>
          <t>\\192.168.100.169\Comun\00. Proiecte 2026</t>
        </is>
      </c>
      <c r="B608" s="2" t="inlineStr">
        <is>
          <t>\\192.168.100.169\Comun\00. Proiecte 2026\lina\10.09.2026 - EUROSTARS CALL 11\remote-expert-guidelines.pdf</t>
        </is>
      </c>
      <c r="C608" s="2" t="inlineStr">
        <is>
          <t>remote-expert-guidelines.pdf</t>
        </is>
      </c>
      <c r="D608" s="2" t="inlineStr">
        <is>
          <t>.pdf</t>
        </is>
      </c>
      <c r="E608" s="2" t="n">
        <v>525288</v>
      </c>
      <c r="F608" s="2" t="inlineStr">
        <is>
          <t>2026-07-23T12:31:20</t>
        </is>
      </c>
      <c r="G608" s="2" t="inlineStr">
        <is>
          <t>text PDF integral</t>
        </is>
      </c>
      <c r="H608" s="2" t="inlineStr"/>
    </row>
    <row r="609">
      <c r="A609" s="2" t="inlineStr">
        <is>
          <t>\\192.168.100.169\Comun\00. Proiecte 2026</t>
        </is>
      </c>
      <c r="B609" s="2" t="inlineStr">
        <is>
          <t>\\192.168.100.169\Comun\00. Proiecte 2026\lina\10.09.2026 - EUROSTARS CALL 11\self-funding-declaration-template.docx</t>
        </is>
      </c>
      <c r="C609" s="2" t="inlineStr">
        <is>
          <t>self-funding-declaration-template.docx</t>
        </is>
      </c>
      <c r="D609" s="2" t="inlineStr">
        <is>
          <t>.docx</t>
        </is>
      </c>
      <c r="E609" s="2" t="n">
        <v>102622</v>
      </c>
      <c r="F609" s="2" t="inlineStr">
        <is>
          <t>2026-07-23T12:29:47</t>
        </is>
      </c>
      <c r="G609" s="2" t="inlineStr">
        <is>
          <t>text Word integral</t>
        </is>
      </c>
      <c r="H609" s="2" t="inlineStr"/>
    </row>
    <row r="610">
      <c r="A610" s="2" t="inlineStr">
        <is>
          <t>\\192.168.100.169\Comun\00. Proiecte 2026</t>
        </is>
      </c>
      <c r="B610" s="2" t="inlineStr">
        <is>
          <t>\\192.168.100.169\Comun\00. Proiecte 2026\lina\10.09.2026 - EUROSTARS CALL 11\sme-declaration-form.pdf</t>
        </is>
      </c>
      <c r="C610" s="2" t="inlineStr">
        <is>
          <t>sme-declaration-form.pdf</t>
        </is>
      </c>
      <c r="D610" s="2" t="inlineStr">
        <is>
          <t>.pdf</t>
        </is>
      </c>
      <c r="E610" s="2" t="n">
        <v>627186</v>
      </c>
      <c r="F610" s="2" t="inlineStr">
        <is>
          <t>2026-07-23T12:29:56</t>
        </is>
      </c>
      <c r="G610" s="2" t="inlineStr">
        <is>
          <t>text PDF integral</t>
        </is>
      </c>
      <c r="H610" s="2" t="inlineStr"/>
    </row>
    <row r="611">
      <c r="A611" s="2" t="inlineStr">
        <is>
          <t>\\192.168.100.169\Comun\00. Proiecte 2026</t>
        </is>
      </c>
      <c r="B611" s="2" t="inlineStr">
        <is>
          <t>\\192.168.100.169\Comun\00. Proiecte 2026\lina\10.09.2026 - EUROSTARS CALL 11\Taxonomy-of-market-areas.pdf</t>
        </is>
      </c>
      <c r="C611" s="2" t="inlineStr">
        <is>
          <t>Taxonomy-of-market-areas.pdf</t>
        </is>
      </c>
      <c r="D611" s="2" t="inlineStr">
        <is>
          <t>.pdf</t>
        </is>
      </c>
      <c r="E611" s="2" t="n">
        <v>102493</v>
      </c>
      <c r="F611" s="2" t="inlineStr">
        <is>
          <t>2026-07-23T12:28:43</t>
        </is>
      </c>
      <c r="G611" s="2" t="inlineStr">
        <is>
          <t>text PDF integral</t>
        </is>
      </c>
      <c r="H611" s="2" t="inlineStr"/>
    </row>
    <row r="612">
      <c r="A612" s="2" t="inlineStr">
        <is>
          <t>\\192.168.100.169\Comun\00. Proiecte 2026</t>
        </is>
      </c>
      <c r="B612" s="2" t="inlineStr">
        <is>
          <t>\\192.168.100.169\Comun\00. Proiecte 2026\lina\10.09.2026 - EUROSTARS CALL 11\Taxonomy-of-technological-areas.pdf</t>
        </is>
      </c>
      <c r="C612" s="2" t="inlineStr">
        <is>
          <t>Taxonomy-of-technological-areas.pdf</t>
        </is>
      </c>
      <c r="D612" s="2" t="inlineStr">
        <is>
          <t>.pdf</t>
        </is>
      </c>
      <c r="E612" s="2" t="n">
        <v>120460</v>
      </c>
      <c r="F612" s="2" t="inlineStr">
        <is>
          <t>2026-07-23T12:28:49</t>
        </is>
      </c>
      <c r="G612" s="2" t="inlineStr">
        <is>
          <t>text PDF integral</t>
        </is>
      </c>
      <c r="H612" s="2" t="inlineStr"/>
    </row>
    <row r="613">
      <c r="A613" s="2" t="inlineStr">
        <is>
          <t>\\192.168.100.169\Comun\00. Proiecte 2026</t>
        </is>
      </c>
      <c r="B613" s="2" t="inlineStr">
        <is>
          <t>\\192.168.100.169\Comun\00. Proiecte 2026\lina\12.11.2026 - I3 2026 INV2A\call-fiche_i3-2026-inv2a_en.pdf</t>
        </is>
      </c>
      <c r="C613" s="2" t="inlineStr">
        <is>
          <t>call-fiche_i3-2026-inv2a_en.pdf</t>
        </is>
      </c>
      <c r="D613" s="2" t="inlineStr">
        <is>
          <t>.pdf</t>
        </is>
      </c>
      <c r="E613" s="2" t="n">
        <v>892621</v>
      </c>
      <c r="F613" s="2" t="inlineStr">
        <is>
          <t>2026-07-23T12:42:38</t>
        </is>
      </c>
      <c r="G613" s="2" t="inlineStr">
        <is>
          <t>text PDF integral</t>
        </is>
      </c>
      <c r="H613" s="2" t="inlineStr"/>
    </row>
    <row r="614">
      <c r="A614" s="2" t="inlineStr">
        <is>
          <t>\\192.168.100.169\Comun\00. Proiecte 2026</t>
        </is>
      </c>
      <c r="B614" s="2" t="inlineStr">
        <is>
          <t>\\192.168.100.169\Comun\00. Proiecte 2026\lina\12.11.2026 I3 2026 INV1\call-fiche_i3-2026-inv1_en.pdf</t>
        </is>
      </c>
      <c r="C614" s="2" t="inlineStr">
        <is>
          <t>call-fiche_i3-2026-inv1_en.pdf</t>
        </is>
      </c>
      <c r="D614" s="2" t="inlineStr">
        <is>
          <t>.pdf</t>
        </is>
      </c>
      <c r="E614" s="2" t="n">
        <v>884038</v>
      </c>
      <c r="F614" s="2" t="inlineStr">
        <is>
          <t>2026-07-23T12:45:52</t>
        </is>
      </c>
      <c r="G614" s="2" t="inlineStr">
        <is>
          <t>text PDF integral</t>
        </is>
      </c>
      <c r="H614" s="2" t="inlineStr"/>
    </row>
    <row r="615">
      <c r="A615" s="2" t="inlineStr">
        <is>
          <t>\\192.168.100.169\Comun\00. Proiecte 2026</t>
        </is>
      </c>
      <c r="B615" s="2" t="inlineStr">
        <is>
          <t>\\192.168.100.169\Comun\00. Proiecte 2026\lina\16.09.2026 - EIT-HEALTH-IU-2026\BP2026-28_Grant to option to equity_Template_InnoUptake.pdf</t>
        </is>
      </c>
      <c r="C615" s="2" t="inlineStr">
        <is>
          <t>BP2026-28_Grant to option to equity_Template_InnoUptake.pdf</t>
        </is>
      </c>
      <c r="D615" s="2" t="inlineStr">
        <is>
          <t>.pdf</t>
        </is>
      </c>
      <c r="E615" s="2" t="n">
        <v>289152</v>
      </c>
      <c r="F615" s="2" t="inlineStr">
        <is>
          <t>2026-07-23T12:39:20</t>
        </is>
      </c>
      <c r="G615" s="2" t="inlineStr">
        <is>
          <t>text PDF integral</t>
        </is>
      </c>
      <c r="H615" s="2" t="inlineStr"/>
    </row>
    <row r="616">
      <c r="A616" s="2" t="inlineStr">
        <is>
          <t>\\192.168.100.169\Comun\00. Proiecte 2026</t>
        </is>
      </c>
      <c r="B616" s="2" t="inlineStr">
        <is>
          <t>\\192.168.100.169\Comun\00. Proiecte 2026\lina\16.09.2026 - EIT-HEALTH-IU-2026\BP2628_InnovUptake27_CallDocument_PUBLISHED_v4.pdf</t>
        </is>
      </c>
      <c r="C616" s="2" t="inlineStr">
        <is>
          <t>BP2628_InnovUptake27_CallDocument_PUBLISHED_v4.pdf</t>
        </is>
      </c>
      <c r="D616" s="2" t="inlineStr">
        <is>
          <t>.pdf</t>
        </is>
      </c>
      <c r="E616" s="2" t="n">
        <v>674829</v>
      </c>
      <c r="F616" s="2" t="inlineStr">
        <is>
          <t>2026-07-23T12:39:30</t>
        </is>
      </c>
      <c r="G616" s="2" t="inlineStr">
        <is>
          <t>text PDF integral</t>
        </is>
      </c>
      <c r="H616" s="2" t="inlineStr"/>
    </row>
    <row r="617">
      <c r="A617" s="2" t="inlineStr">
        <is>
          <t>\\192.168.100.169\Comun\00. Proiecte 2026</t>
        </is>
      </c>
      <c r="B617" s="2" t="inlineStr">
        <is>
          <t>\\192.168.100.169\Comun\00. Proiecte 2026\lina\16.09.2026 - EIT-HEALTH-IU-2026\BP2628_InnovUptake27_CallFAQs.pdf</t>
        </is>
      </c>
      <c r="C617" s="2" t="inlineStr">
        <is>
          <t>BP2628_InnovUptake27_CallFAQs.pdf</t>
        </is>
      </c>
      <c r="D617" s="2" t="inlineStr">
        <is>
          <t>.pdf</t>
        </is>
      </c>
      <c r="E617" s="2" t="n">
        <v>306516</v>
      </c>
      <c r="F617" s="2" t="inlineStr">
        <is>
          <t>2026-07-23T12:39:31</t>
        </is>
      </c>
      <c r="G617" s="2" t="inlineStr">
        <is>
          <t>text PDF integral</t>
        </is>
      </c>
      <c r="H617" s="2" t="inlineStr"/>
    </row>
    <row r="618">
      <c r="A618" s="2" t="inlineStr">
        <is>
          <t>\\192.168.100.169\Comun\00. Proiecte 2026</t>
        </is>
      </c>
      <c r="B618" s="2" t="inlineStr">
        <is>
          <t>\\192.168.100.169\Comun\00. Proiecte 2026\lina\16.09.2026 - EIT-HEALTH-IU-2026\EIT Health_InnovUptake27_FinancialTemplates_MicroSmall.xlsx</t>
        </is>
      </c>
      <c r="C618" s="2" t="inlineStr">
        <is>
          <t>EIT Health_InnovUptake27_FinancialTemplates_MicroSmall.xlsx</t>
        </is>
      </c>
      <c r="D618" s="2" t="inlineStr">
        <is>
          <t>.xlsx</t>
        </is>
      </c>
      <c r="E618" s="2" t="n">
        <v>73012</v>
      </c>
      <c r="F618" s="2" t="inlineStr">
        <is>
          <t>2026-07-23T12:39:02</t>
        </is>
      </c>
      <c r="G618" s="2" t="inlineStr">
        <is>
          <t>valori Excel; fără obiecte încorporate</t>
        </is>
      </c>
      <c r="H618" s="2" t="inlineStr"/>
    </row>
    <row r="619">
      <c r="A619" s="2" t="inlineStr">
        <is>
          <t>\\192.168.100.169\Comun\00. Proiecte 2026</t>
        </is>
      </c>
      <c r="B619" s="2" t="inlineStr">
        <is>
          <t>\\192.168.100.169\Comun\00. Proiecte 2026\lina\16.09.2026 - EIT-HEALTH-IU-2026\EITHealth_InnovUptake27_ApplicationForm_Template.pdf</t>
        </is>
      </c>
      <c r="C619" s="2" t="inlineStr">
        <is>
          <t>EITHealth_InnovUptake27_ApplicationForm_Template.pdf</t>
        </is>
      </c>
      <c r="D619" s="2" t="inlineStr">
        <is>
          <t>.pdf</t>
        </is>
      </c>
      <c r="E619" s="2" t="n">
        <v>264389</v>
      </c>
      <c r="F619" s="2" t="inlineStr">
        <is>
          <t>2026-07-23T12:39:06</t>
        </is>
      </c>
      <c r="G619" s="2" t="inlineStr">
        <is>
          <t>text PDF integral</t>
        </is>
      </c>
      <c r="H619" s="2" t="inlineStr"/>
    </row>
    <row r="620">
      <c r="A620" s="2" t="inlineStr">
        <is>
          <t>\\192.168.100.169\Comun\00. Proiecte 2026</t>
        </is>
      </c>
      <c r="B620" s="2" t="inlineStr">
        <is>
          <t>\\192.168.100.169\Comun\00. Proiecte 2026\lina\16.09.2026 - EIT-HEALTH-IU-2026\EITHealth_InnovUptake27_FinTemplate_ValueCreationPlanDemo.webm</t>
        </is>
      </c>
      <c r="C620" s="2" t="inlineStr">
        <is>
          <t>EITHealth_InnovUptake27_FinTemplate_ValueCreationPlanDemo.webm</t>
        </is>
      </c>
      <c r="D620" s="2" t="inlineStr">
        <is>
          <t>.webm</t>
        </is>
      </c>
      <c r="E620" s="2" t="n">
        <v>30689099</v>
      </c>
      <c r="F620" s="2" t="inlineStr">
        <is>
          <t>2026-07-23T12:39:28</t>
        </is>
      </c>
      <c r="G620" s="2" t="inlineStr">
        <is>
          <t>format non analysé</t>
        </is>
      </c>
      <c r="H620" s="2" t="inlineStr"/>
    </row>
    <row r="621">
      <c r="A621" s="2" t="inlineStr">
        <is>
          <t>\\192.168.100.169\Comun\00. Proiecte 2026</t>
        </is>
      </c>
      <c r="B621" s="2" t="inlineStr">
        <is>
          <t>\\192.168.100.169\Comun\00. Proiecte 2026\lina\16.09.2026 - EIT-HEALTH-IU-2026\EITHealth_InnovUptake27_RevenueSharingAgreement_Template.pdf</t>
        </is>
      </c>
      <c r="C621" s="2" t="inlineStr">
        <is>
          <t>EITHealth_InnovUptake27_RevenueSharingAgreement_Template.pdf</t>
        </is>
      </c>
      <c r="D621" s="2" t="inlineStr">
        <is>
          <t>.pdf</t>
        </is>
      </c>
      <c r="E621" s="2" t="n">
        <v>1685158</v>
      </c>
      <c r="F621" s="2" t="inlineStr">
        <is>
          <t>2026-07-23T12:39:22</t>
        </is>
      </c>
      <c r="G621" s="2" t="inlineStr">
        <is>
          <t>text PDF integral</t>
        </is>
      </c>
      <c r="H621" s="2" t="inlineStr"/>
    </row>
    <row r="622">
      <c r="A622" s="2" t="inlineStr">
        <is>
          <t>\\192.168.100.169\Comun\00. Proiecte 2026</t>
        </is>
      </c>
      <c r="B622" s="2" t="inlineStr">
        <is>
          <t>\\192.168.100.169\Comun\00. Proiecte 2026\lina\16.09.2026 - EIT-HEALTH-IU-2026\Unconfirmed 144838.crdownload</t>
        </is>
      </c>
      <c r="C622" s="2" t="inlineStr">
        <is>
          <t>Unconfirmed 144838.crdownload</t>
        </is>
      </c>
      <c r="D622" s="2" t="inlineStr">
        <is>
          <t>.crdownload</t>
        </is>
      </c>
      <c r="E622" s="2" t="n">
        <v>29679616</v>
      </c>
      <c r="F622" s="2" t="inlineStr">
        <is>
          <t>2026-07-23T12:39:42</t>
        </is>
      </c>
      <c r="G622" s="2" t="inlineStr">
        <is>
          <t>format non analysé</t>
        </is>
      </c>
      <c r="H622" s="2" t="inlineStr"/>
    </row>
    <row r="623">
      <c r="A623" s="2" t="inlineStr">
        <is>
          <t>\\192.168.100.169\Comun\00. Proiecte 2026</t>
        </is>
      </c>
      <c r="B623" s="2" t="inlineStr">
        <is>
          <t>\\192.168.100.169\Comun\00. Proiecte 2026\lina\16.09.2026 - WOMAN TECHEU COHORTA 2026\WomenTechEU_Guidelines_Eligibility.pdf</t>
        </is>
      </c>
      <c r="C623" s="2" t="inlineStr">
        <is>
          <t>WomenTechEU_Guidelines_Eligibility.pdf</t>
        </is>
      </c>
      <c r="D623" s="2" t="inlineStr">
        <is>
          <t>.pdf</t>
        </is>
      </c>
      <c r="E623" s="2" t="n">
        <v>669436</v>
      </c>
      <c r="F623" s="2" t="inlineStr">
        <is>
          <t>2026-07-23T12:50:32</t>
        </is>
      </c>
      <c r="G623" s="2" t="inlineStr">
        <is>
          <t>text PDF integral</t>
        </is>
      </c>
      <c r="H623" s="2" t="inlineStr"/>
    </row>
    <row r="624">
      <c r="A624" s="2" t="inlineStr">
        <is>
          <t>\\192.168.100.169\Comun\00. Proiecte 2026</t>
        </is>
      </c>
      <c r="B624" s="2" t="inlineStr">
        <is>
          <t>\\192.168.100.169\Comun\00. Proiecte 2026\lina\18.03.2027 - HORIZON CL4 20207 04 DIGITAL ENERGING 05\call-fiche_digital-2026-skills-10_en.pdf</t>
        </is>
      </c>
      <c r="C624" s="2" t="inlineStr">
        <is>
          <t>call-fiche_digital-2026-skills-10_en.pdf</t>
        </is>
      </c>
      <c r="D624" s="2" t="inlineStr">
        <is>
          <t>.pdf</t>
        </is>
      </c>
      <c r="E624" s="2" t="n">
        <v>595109</v>
      </c>
      <c r="F624" s="2" t="inlineStr">
        <is>
          <t>2026-07-23T12:53:01</t>
        </is>
      </c>
      <c r="G624" s="2" t="inlineStr">
        <is>
          <t>text PDF integral</t>
        </is>
      </c>
      <c r="H624" s="2" t="inlineStr"/>
    </row>
    <row r="625">
      <c r="A625" s="2" t="inlineStr">
        <is>
          <t>\\192.168.100.169\Comun\00. Proiecte 2026</t>
        </is>
      </c>
      <c r="B625" s="2" t="inlineStr">
        <is>
          <t>\\192.168.100.169\Comun\00. Proiecte 2026\lina\18.03.2027 - HORIZON CL4 20207 04 DIGITAL ENERGING 05\wp-7-digital-industry-and-space_horizon-2026-2027_en.pdf</t>
        </is>
      </c>
      <c r="C625" s="2" t="inlineStr">
        <is>
          <t>wp-7-digital-industry-and-space_horizon-2026-2027_en.pdf</t>
        </is>
      </c>
      <c r="D625" s="2" t="inlineStr">
        <is>
          <t>.pdf</t>
        </is>
      </c>
      <c r="E625" s="2" t="n">
        <v>2263869</v>
      </c>
      <c r="F625" s="2" t="inlineStr">
        <is>
          <t>2026-07-23T12:44:59</t>
        </is>
      </c>
      <c r="G625" s="2" t="inlineStr">
        <is>
          <t>text PDF integral</t>
        </is>
      </c>
      <c r="H625" s="2" t="inlineStr"/>
    </row>
    <row r="626">
      <c r="A626" s="2" t="inlineStr">
        <is>
          <t>\\192.168.100.169\Comun\00. Proiecte 2026</t>
        </is>
      </c>
      <c r="B626" s="2" t="inlineStr">
        <is>
          <t>\\192.168.100.169\Comun\00. Proiecte 2026\lina\18.03.2027 HORIZON-CL4-2027-04-DIGITAL-EMERGING-04\call-fiche_digital-2026-skills-10_en (1).pdf</t>
        </is>
      </c>
      <c r="C626" s="2" t="inlineStr">
        <is>
          <t>call-fiche_digital-2026-skills-10_en (1).pdf</t>
        </is>
      </c>
      <c r="D626" s="2" t="inlineStr">
        <is>
          <t>.pdf</t>
        </is>
      </c>
      <c r="E626" s="2" t="n">
        <v>595109</v>
      </c>
      <c r="F626" s="2" t="inlineStr">
        <is>
          <t>2026-07-23T12:54:15</t>
        </is>
      </c>
      <c r="G626" s="2" t="inlineStr">
        <is>
          <t>text PDF integral</t>
        </is>
      </c>
      <c r="H626" s="2" t="inlineStr"/>
    </row>
    <row r="627">
      <c r="A627" s="2" t="inlineStr">
        <is>
          <t>\\192.168.100.169\Comun\00. Proiecte 2026</t>
        </is>
      </c>
      <c r="B627" s="2" t="inlineStr">
        <is>
          <t>\\192.168.100.169\Comun\00. Proiecte 2026\lina\CALLANGE 1-2 25.08.2026 CALLANGE 3-4 08.09.2026 AI BOOST ACC 2026\AI-BOOST-_Guidelines-for-Applicants_for_AI_Challenge_Competition.pdf</t>
        </is>
      </c>
      <c r="C627" s="2" t="inlineStr">
        <is>
          <t>AI-BOOST-_Guidelines-for-Applicants_for_AI_Challenge_Competition.pdf</t>
        </is>
      </c>
      <c r="D627" s="2" t="inlineStr">
        <is>
          <t>.pdf</t>
        </is>
      </c>
      <c r="E627" s="2" t="n">
        <v>1087408</v>
      </c>
      <c r="F627" s="2" t="inlineStr">
        <is>
          <t>2026-07-23T12:56:42</t>
        </is>
      </c>
      <c r="G627" s="2" t="inlineStr">
        <is>
          <t>text PDF integral</t>
        </is>
      </c>
      <c r="H627" s="2" t="inlineStr"/>
    </row>
    <row r="628">
      <c r="A628" s="2" t="inlineStr">
        <is>
          <t>\\192.168.100.169\Comun\00. Proiecte 2026</t>
        </is>
      </c>
      <c r="B628" s="2" t="inlineStr">
        <is>
          <t>\\192.168.100.169\Comun\00. Proiecte 2026\situatii financiare 2023-2025\situatii contabile firme aride.xlsx</t>
        </is>
      </c>
      <c r="C628" s="2" t="inlineStr">
        <is>
          <t>situatii contabile firme aride.xlsx</t>
        </is>
      </c>
      <c r="D628" s="2" t="inlineStr">
        <is>
          <t>.xlsx</t>
        </is>
      </c>
      <c r="E628" s="2" t="n">
        <v>23139</v>
      </c>
      <c r="F628" s="2" t="inlineStr">
        <is>
          <t>2026-06-26T13:46:27</t>
        </is>
      </c>
      <c r="G628" s="2" t="inlineStr">
        <is>
          <t>valori Excel; fără obiecte încorporate</t>
        </is>
      </c>
      <c r="H628" s="2" t="inlineStr"/>
    </row>
    <row r="629">
      <c r="A629" s="2" t="inlineStr">
        <is>
          <t>\\192.168.100.169\Comun\00. Proiecte 2026</t>
        </is>
      </c>
      <c r="B629" s="2" t="inlineStr">
        <is>
          <t>\\192.168.100.169\Comun\00. Proiecte 2026\situatii financiare 2023-2025\situatii contabile firme dancor.xlsx</t>
        </is>
      </c>
      <c r="C629" s="2" t="inlineStr">
        <is>
          <t>situatii contabile firme dancor.xlsx</t>
        </is>
      </c>
      <c r="D629" s="2" t="inlineStr">
        <is>
          <t>.xlsx</t>
        </is>
      </c>
      <c r="E629" s="2" t="n">
        <v>22991</v>
      </c>
      <c r="F629" s="2" t="inlineStr">
        <is>
          <t>2026-06-26T15:53:09</t>
        </is>
      </c>
      <c r="G629" s="2" t="inlineStr">
        <is>
          <t>valori Excel; fără obiecte încorporate</t>
        </is>
      </c>
      <c r="H629" s="2" t="inlineStr"/>
    </row>
    <row r="630">
      <c r="A630" s="2" t="inlineStr">
        <is>
          <t>\\192.168.100.169\Comun\00. Proiecte 2026</t>
        </is>
      </c>
      <c r="B630" s="2" t="inlineStr">
        <is>
          <t>\\192.168.100.169\Comun\00. Proiecte 2026\situatii financiare 2023-2025\situatii contabile firme marius.xlsx</t>
        </is>
      </c>
      <c r="C630" s="2" t="inlineStr">
        <is>
          <t>situatii contabile firme marius.xlsx</t>
        </is>
      </c>
      <c r="D630" s="2" t="inlineStr">
        <is>
          <t>.xlsx</t>
        </is>
      </c>
      <c r="E630" s="2" t="n">
        <v>23182</v>
      </c>
      <c r="F630" s="2" t="inlineStr">
        <is>
          <t>2026-06-29T12:02:29</t>
        </is>
      </c>
      <c r="G630" s="2" t="inlineStr">
        <is>
          <t>valori Excel; fără obiecte încorporate</t>
        </is>
      </c>
      <c r="H630" s="2" t="inlineStr"/>
    </row>
    <row r="631">
      <c r="A631" s="2" t="inlineStr">
        <is>
          <t>\\192.168.100.169\Comun\00. Proiecte 2026</t>
        </is>
      </c>
      <c r="B631" s="2" t="inlineStr">
        <is>
          <t>\\192.168.100.169\Comun\00. Proiecte 2026\situatii financiare 2023-2025\situatii contabile firme market.xlsx</t>
        </is>
      </c>
      <c r="C631" s="2" t="inlineStr">
        <is>
          <t>situatii contabile firme market.xlsx</t>
        </is>
      </c>
      <c r="D631" s="2" t="inlineStr">
        <is>
          <t>.xlsx</t>
        </is>
      </c>
      <c r="E631" s="2" t="n">
        <v>22754</v>
      </c>
      <c r="F631" s="2" t="inlineStr">
        <is>
          <t>2026-06-26T15:11:01</t>
        </is>
      </c>
      <c r="G631" s="2" t="inlineStr">
        <is>
          <t>valori Excel; fără obiecte încorporate</t>
        </is>
      </c>
      <c r="H631" s="2" t="inlineStr"/>
    </row>
    <row r="632">
      <c r="A632" s="2" t="inlineStr">
        <is>
          <t>\\192.168.100.169\Comun\00. Proiecte 2026</t>
        </is>
      </c>
      <c r="B632" s="2" t="inlineStr">
        <is>
          <t>\\192.168.100.169\Comun\00. Proiecte 2026\situatii financiare 2023-2025\situatii contabile firme NEETS.xlsx</t>
        </is>
      </c>
      <c r="C632" s="2" t="inlineStr">
        <is>
          <t>situatii contabile firme NEETS.xlsx</t>
        </is>
      </c>
      <c r="D632" s="2" t="inlineStr">
        <is>
          <t>.xlsx</t>
        </is>
      </c>
      <c r="E632" s="2" t="n">
        <v>22948</v>
      </c>
      <c r="F632" s="2" t="inlineStr">
        <is>
          <t>2026-06-29T12:57:31</t>
        </is>
      </c>
      <c r="G632" s="2" t="inlineStr">
        <is>
          <t>valori Excel; fără obiecte încorporate</t>
        </is>
      </c>
      <c r="H632" s="2" t="inlineStr"/>
    </row>
    <row r="633">
      <c r="A633" s="2" t="inlineStr">
        <is>
          <t>\\192.168.100.169\Comun\00. Proiecte 2026</t>
        </is>
      </c>
      <c r="B633" s="2" t="inlineStr">
        <is>
          <t>\\192.168.100.169\Comun\00. Proiecte 2026\situatii financiare 2023-2025\situatii contabile firme OPTIM.xlsx</t>
        </is>
      </c>
      <c r="C633" s="2" t="inlineStr">
        <is>
          <t>situatii contabile firme OPTIM.xlsx</t>
        </is>
      </c>
      <c r="D633" s="2" t="inlineStr">
        <is>
          <t>.xlsx</t>
        </is>
      </c>
      <c r="E633" s="2" t="n">
        <v>22791</v>
      </c>
      <c r="F633" s="2" t="inlineStr">
        <is>
          <t>2026-06-29T13:15:01</t>
        </is>
      </c>
      <c r="G633" s="2" t="inlineStr">
        <is>
          <t>valori Excel; fără obiecte încorporate</t>
        </is>
      </c>
      <c r="H633" s="2" t="inlineStr"/>
    </row>
    <row r="634">
      <c r="A634" s="2" t="inlineStr">
        <is>
          <t>\\192.168.100.169\Comun\00. Proiecte 2026</t>
        </is>
      </c>
      <c r="B634" s="2" t="inlineStr">
        <is>
          <t>\\192.168.100.169\Comun\00. Proiecte 2026\situatii financiare 2023-2025\situatii contabile srm.xlsx</t>
        </is>
      </c>
      <c r="C634" s="2" t="inlineStr">
        <is>
          <t>situatii contabile srm.xlsx</t>
        </is>
      </c>
      <c r="D634" s="2" t="inlineStr">
        <is>
          <t>.xlsx</t>
        </is>
      </c>
      <c r="E634" s="2" t="n">
        <v>23021</v>
      </c>
      <c r="F634" s="2" t="inlineStr">
        <is>
          <t>2026-06-30T14:36:52</t>
        </is>
      </c>
      <c r="G634" s="2" t="inlineStr">
        <is>
          <t>valori Excel; fără obiecte încorporate</t>
        </is>
      </c>
      <c r="H634" s="2" t="inlineStr"/>
    </row>
  </sheetData>
  <autoFilter ref="A1:H6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s>
  <sheetData>
    <row r="1">
      <c r="A1" s="1" t="inlineStr">
        <is>
          <t>Rădăcină</t>
        </is>
      </c>
      <c r="B1" s="1" t="inlineStr">
        <is>
          <t>Director</t>
        </is>
      </c>
    </row>
    <row r="2">
      <c r="A2" s="2" t="inlineStr">
        <is>
          <t>\\192.168.100.169\Comun\00. Proiecte 2026 - SCRIEM</t>
        </is>
      </c>
      <c r="B2" s="2" t="inlineStr">
        <is>
          <t>\\192.168.100.169\Comun\00. Proiecte 2026 - SCRIEM</t>
        </is>
      </c>
    </row>
    <row r="3">
      <c r="A3" s="2" t="inlineStr">
        <is>
          <t>\\192.168.100.169\Comun\00. Proiecte 2026 - SCRIEM</t>
        </is>
      </c>
      <c r="B3" s="2" t="inlineStr">
        <is>
          <t>\\192.168.100.169\Comun\00. Proiecte 2026 - SCRIEM\09.2026 Baterii AFM</t>
        </is>
      </c>
    </row>
    <row r="4">
      <c r="A4" s="2" t="inlineStr">
        <is>
          <t>\\192.168.100.169\Comun\00. Proiecte 2026 - SCRIEM</t>
        </is>
      </c>
      <c r="B4" s="2" t="inlineStr">
        <is>
          <t>\\192.168.100.169\Comun\00. Proiecte 2026 - SCRIEM\09.2026 Baterii AFM\Proiect 1- Covaciu Cosmin Adrian</t>
        </is>
      </c>
    </row>
    <row r="5">
      <c r="A5" s="2" t="inlineStr">
        <is>
          <t>\\192.168.100.169\Comun\00. Proiecte 2026 - SCRIEM</t>
        </is>
      </c>
      <c r="B5" s="2" t="inlineStr">
        <is>
          <t>\\192.168.100.169\Comun\00. Proiecte 2026 - SCRIEM\09.2026 Baterii AFM\Proiect 1- Covaciu Cosmin Adrian\1. Cererea de finanțare</t>
        </is>
      </c>
    </row>
    <row r="6">
      <c r="A6" s="2" t="inlineStr">
        <is>
          <t>\\192.168.100.169\Comun\00. Proiecte 2026 - SCRIEM</t>
        </is>
      </c>
      <c r="B6" s="2" t="inlineStr">
        <is>
          <t>\\192.168.100.169\Comun\00. Proiecte 2026 - SCRIEM\09.2026 Baterii AFM\Proiect 1- Covaciu Cosmin Adrian\2. Actul de identitate,</t>
        </is>
      </c>
    </row>
    <row r="7">
      <c r="A7" s="2" t="inlineStr">
        <is>
          <t>\\192.168.100.169\Comun\00. Proiecte 2026 - SCRIEM</t>
        </is>
      </c>
      <c r="B7" s="2" t="inlineStr">
        <is>
          <t>\\192.168.100.169\Comun\00. Proiecte 2026 - SCRIEM\09.2026 Baterii AFM\Proiect 1- Covaciu Cosmin Adrian\3. Certificatul de atestare fiscală pentru bugetul de stat</t>
        </is>
      </c>
    </row>
    <row r="8">
      <c r="A8" s="2" t="inlineStr">
        <is>
          <t>\\192.168.100.169\Comun\00. Proiecte 2026 - SCRIEM</t>
        </is>
      </c>
      <c r="B8" s="2" t="inlineStr">
        <is>
          <t>\\192.168.100.169\Comun\00. Proiecte 2026 - SCRIEM\09.2026 Baterii AFM\Proiect 1- Covaciu Cosmin Adrian\4. Certificatul de atestare fiscală pentru impozitele și taxele locale</t>
        </is>
      </c>
    </row>
    <row r="9">
      <c r="A9" s="2" t="inlineStr">
        <is>
          <t>\\192.168.100.169\Comun\00. Proiecte 2026 - SCRIEM</t>
        </is>
      </c>
      <c r="B9" s="2" t="inlineStr">
        <is>
          <t>\\192.168.100.169\Comun\00. Proiecte 2026 - SCRIEM\09.2026 Baterii AFM\Proiect 1- Covaciu Cosmin Adrian\5. Contractul de prosumator</t>
        </is>
      </c>
    </row>
    <row r="10">
      <c r="A10" s="2" t="inlineStr">
        <is>
          <t>\\192.168.100.169\Comun\00. Proiecte 2026 - SCRIEM</t>
        </is>
      </c>
      <c r="B10" s="2" t="inlineStr">
        <is>
          <t>\\192.168.100.169\Comun\00. Proiecte 2026 - SCRIEM\09.2026 Baterii AFM\Proiect 1- Covaciu Cosmin Adrian\6. Certificatul de racordare</t>
        </is>
      </c>
    </row>
    <row r="11">
      <c r="A11" s="2" t="inlineStr">
        <is>
          <t>\\192.168.100.169\Comun\00. Proiecte 2026 - SCRIEM</t>
        </is>
      </c>
      <c r="B11" s="2" t="inlineStr">
        <is>
          <t>\\192.168.100.169\Comun\00. Proiecte 2026 - SCRIEM\09.2026 Baterii AFM\Proiect 1- Covaciu Cosmin Adrian\7. O factură de energie electrică</t>
        </is>
      </c>
    </row>
    <row r="12">
      <c r="A12" s="2" t="inlineStr">
        <is>
          <t>\\192.168.100.169\Comun\00. Proiecte 2026 - SCRIEM</t>
        </is>
      </c>
      <c r="B12" s="2" t="inlineStr">
        <is>
          <t>\\192.168.100.169\Comun\00. Proiecte 2026 - SCRIEM\09.2026 Baterii AFM\Proiect-2 Vaida Elena</t>
        </is>
      </c>
    </row>
    <row r="13">
      <c r="A13" s="2" t="inlineStr">
        <is>
          <t>\\192.168.100.169\Comun\00. Proiecte 2026 - SCRIEM</t>
        </is>
      </c>
      <c r="B13" s="2" t="inlineStr">
        <is>
          <t>\\192.168.100.169\Comun\00. Proiecte 2026 - SCRIEM\09.2026 Baterii AFM\Proiect-2 Vaida Elena\1. Cererea de finanțare</t>
        </is>
      </c>
    </row>
    <row r="14">
      <c r="A14" s="2" t="inlineStr">
        <is>
          <t>\\192.168.100.169\Comun\00. Proiecte 2026 - SCRIEM</t>
        </is>
      </c>
      <c r="B14" s="2" t="inlineStr">
        <is>
          <t>\\192.168.100.169\Comun\00. Proiecte 2026 - SCRIEM\09.2026 Baterii AFM\Proiect-2 Vaida Elena\2. Actul de identitate,</t>
        </is>
      </c>
    </row>
    <row r="15">
      <c r="A15" s="2" t="inlineStr">
        <is>
          <t>\\192.168.100.169\Comun\00. Proiecte 2026 - SCRIEM</t>
        </is>
      </c>
      <c r="B15" s="2" t="inlineStr">
        <is>
          <t>\\192.168.100.169\Comun\00. Proiecte 2026 - SCRIEM\09.2026 Baterii AFM\Proiect-2 Vaida Elena\3. Certificatul de atestare fiscală pentru bugetul de stat</t>
        </is>
      </c>
    </row>
    <row r="16">
      <c r="A16" s="2" t="inlineStr">
        <is>
          <t>\\192.168.100.169\Comun\00. Proiecte 2026 - SCRIEM</t>
        </is>
      </c>
      <c r="B16" s="2" t="inlineStr">
        <is>
          <t>\\192.168.100.169\Comun\00. Proiecte 2026 - SCRIEM\09.2026 Baterii AFM\Proiect-2 Vaida Elena\4. Certificatul de atestare fiscală pentru impozitele și taxele locale</t>
        </is>
      </c>
    </row>
    <row r="17">
      <c r="A17" s="2" t="inlineStr">
        <is>
          <t>\\192.168.100.169\Comun\00. Proiecte 2026 - SCRIEM</t>
        </is>
      </c>
      <c r="B17" s="2" t="inlineStr">
        <is>
          <t>\\192.168.100.169\Comun\00. Proiecte 2026 - SCRIEM\09.2026 Baterii AFM\Proiect-2 Vaida Elena\5. Contractul de prosumator</t>
        </is>
      </c>
    </row>
    <row r="18">
      <c r="A18" s="2" t="inlineStr">
        <is>
          <t>\\192.168.100.169\Comun\00. Proiecte 2026 - SCRIEM</t>
        </is>
      </c>
      <c r="B18" s="2" t="inlineStr">
        <is>
          <t>\\192.168.100.169\Comun\00. Proiecte 2026 - SCRIEM\09.2026 Baterii AFM\Proiect-2 Vaida Elena\6. Certificatul de racordare</t>
        </is>
      </c>
    </row>
    <row r="19">
      <c r="A19" s="2" t="inlineStr">
        <is>
          <t>\\192.168.100.169\Comun\00. Proiecte 2026 - SCRIEM</t>
        </is>
      </c>
      <c r="B19" s="2" t="inlineStr">
        <is>
          <t>\\192.168.100.169\Comun\00. Proiecte 2026 - SCRIEM\09.2026 Baterii AFM\Proiect-2 Vaida Elena\7. O factură de energie electrică</t>
        </is>
      </c>
    </row>
    <row r="20">
      <c r="A20" s="2" t="inlineStr">
        <is>
          <t>\\192.168.100.169\Comun\00. Proiecte 2026 - SCRIEM</t>
        </is>
      </c>
      <c r="B20" s="2" t="inlineStr">
        <is>
          <t>\\192.168.100.169\Comun\00. Proiecte 2026 - SCRIEM\2026.01.11 eDrive</t>
        </is>
      </c>
    </row>
    <row r="21">
      <c r="A21" s="2" t="inlineStr">
        <is>
          <t>\\192.168.100.169\Comun\00. Proiecte 2026 - SCRIEM</t>
        </is>
      </c>
      <c r="B21" s="2" t="inlineStr">
        <is>
          <t>\\192.168.100.169\Comun\00. Proiecte 2026 - SCRIEM\2026.09.30 Acțiunea 2.1 POCIDIF</t>
        </is>
      </c>
    </row>
    <row r="22">
      <c r="A22" s="2" t="inlineStr">
        <is>
          <t>\\192.168.100.169\Comun\00. Proiecte 2026 - SCRIEM</t>
        </is>
      </c>
      <c r="B22" s="2" t="inlineStr">
        <is>
          <t>\\192.168.100.169\Comun\00. Proiecte 2026 - SCRIEM\2026.09.30 Acțiunea 2.1 POCIDIF\.agents</t>
        </is>
      </c>
    </row>
    <row r="23">
      <c r="A23" s="2" t="inlineStr">
        <is>
          <t>\\192.168.100.169\Comun\00. Proiecte 2026 - SCRIEM</t>
        </is>
      </c>
      <c r="B23" s="2" t="inlineStr">
        <is>
          <t>\\192.168.100.169\Comun\00. Proiecte 2026 - SCRIEM\2026.09.30 Acțiunea 2.1 POCIDIF\.codex</t>
        </is>
      </c>
    </row>
    <row r="24">
      <c r="A24" s="2" t="inlineStr">
        <is>
          <t>\\192.168.100.169\Comun\00. Proiecte 2026 - SCRIEM</t>
        </is>
      </c>
      <c r="B24" s="2" t="inlineStr">
        <is>
          <t>\\192.168.100.169\Comun\00. Proiecte 2026 - SCRIEM\2026.09.30 Acțiunea 2.1 POCIDIF\.git</t>
        </is>
      </c>
    </row>
    <row r="25">
      <c r="A25" s="2" t="inlineStr">
        <is>
          <t>\\192.168.100.169\Comun\00. Proiecte 2026 - SCRIEM</t>
        </is>
      </c>
      <c r="B25" s="2" t="inlineStr">
        <is>
          <t>\\192.168.100.169\Comun\00. Proiecte 2026 - SCRIEM\2026.09.30 Acțiunea 2.1 POCIDIF\0.ARHIVA</t>
        </is>
      </c>
    </row>
    <row r="26">
      <c r="A26" s="2" t="inlineStr">
        <is>
          <t>\\192.168.100.169\Comun\00. Proiecte 2026 - SCRIEM</t>
        </is>
      </c>
      <c r="B26" s="2" t="inlineStr">
        <is>
          <t>\\192.168.100.169\Comun\00. Proiecte 2026 - SCRIEM\2026.09.30 Acțiunea 2.1 POCIDIF\1. DOCUMENTE OFICIALE</t>
        </is>
      </c>
    </row>
    <row r="27">
      <c r="A27" s="2" t="inlineStr">
        <is>
          <t>\\192.168.100.169\Comun\00. Proiecte 2026 - SCRIEM</t>
        </is>
      </c>
      <c r="B27" s="2" t="inlineStr">
        <is>
          <t>\\192.168.100.169\Comun\00. Proiecte 2026 - SCRIEM\2026.09.30 Acțiunea 2.1 POCIDIF\P1. Dancorproiect SRL</t>
        </is>
      </c>
    </row>
    <row r="28">
      <c r="A28" s="2" t="inlineStr">
        <is>
          <t>\\192.168.100.169\Comun\00. Proiecte 2026 - SCRIEM</t>
        </is>
      </c>
      <c r="B28" s="2" t="inlineStr">
        <is>
          <t>\\192.168.100.169\Comun\00. Proiecte 2026 - SCRIEM\2026.09.30 Acțiunea 2.1 POCIDIF\P1. Dancorproiect SRL\1. Surse si analize tehnice EVA</t>
        </is>
      </c>
    </row>
    <row r="29">
      <c r="A29" s="2" t="inlineStr">
        <is>
          <t>\\192.168.100.169\Comun\00. Proiecte 2026 - SCRIEM</t>
        </is>
      </c>
      <c r="B29" s="2" t="inlineStr">
        <is>
          <t>\\192.168.100.169\Comun\00. Proiecte 2026 - SCRIEM\2026.09.30 Acțiunea 2.1 POCIDIF\P1. Dancorproiect SRL\1. Surse si analize tehnice EVA\0. Arhiva</t>
        </is>
      </c>
    </row>
    <row r="30">
      <c r="A30" s="2" t="inlineStr">
        <is>
          <t>\\192.168.100.169\Comun\00. Proiecte 2026 - SCRIEM</t>
        </is>
      </c>
      <c r="B30" s="2" t="inlineStr">
        <is>
          <t>\\192.168.100.169\Comun\00. Proiecte 2026 - SCRIEM\2026.09.30 Acțiunea 2.1 POCIDIF\P1. Dancorproiect SRL\2. Analize eligibilitate si audit</t>
        </is>
      </c>
    </row>
    <row r="31">
      <c r="A31" s="2" t="inlineStr">
        <is>
          <t>\\192.168.100.169\Comun\00. Proiecte 2026 - SCRIEM</t>
        </is>
      </c>
      <c r="B31" s="2" t="inlineStr">
        <is>
          <t>\\192.168.100.169\Comun\00. Proiecte 2026 - SCRIEM\2026.09.30 Acțiunea 2.1 POCIDIF\P1. Dancorproiect SRL\2. Analize eligibilitate si audit\0. Arhiva</t>
        </is>
      </c>
    </row>
    <row r="32">
      <c r="A32" s="2" t="inlineStr">
        <is>
          <t>\\192.168.100.169\Comun\00. Proiecte 2026 - SCRIEM</t>
        </is>
      </c>
      <c r="B32" s="2" t="inlineStr">
        <is>
          <t>\\192.168.100.169\Comun\00. Proiecte 2026 - SCRIEM\2026.09.30 Acțiunea 2.1 POCIDIF\P1. Dancorproiect SRL\3. Buget</t>
        </is>
      </c>
    </row>
    <row r="33">
      <c r="A33" s="2" t="inlineStr">
        <is>
          <t>\\192.168.100.169\Comun\00. Proiecte 2026 - SCRIEM</t>
        </is>
      </c>
      <c r="B33" s="2" t="inlineStr">
        <is>
          <t>\\192.168.100.169\Comun\00. Proiecte 2026 - SCRIEM\2026.09.30 Acțiunea 2.1 POCIDIF\P1. Dancorproiect SRL\3. Buget\0. Arhiva</t>
        </is>
      </c>
    </row>
    <row r="34">
      <c r="A34" s="2" t="inlineStr">
        <is>
          <t>\\192.168.100.169\Comun\00. Proiecte 2026 - SCRIEM</t>
        </is>
      </c>
      <c r="B34" s="2" t="inlineStr">
        <is>
          <t>\\192.168.100.169\Comun\00. Proiecte 2026 - SCRIEM\2026.09.30 Acțiunea 2.1 POCIDIF\P1. Dancorproiect SRL\4. Dosar depunere</t>
        </is>
      </c>
    </row>
    <row r="35">
      <c r="A35" s="2" t="inlineStr">
        <is>
          <t>\\192.168.100.169\Comun\00. Proiecte 2026 - SCRIEM</t>
        </is>
      </c>
      <c r="B35" s="2" t="inlineStr">
        <is>
          <t>\\192.168.100.169\Comun\00. Proiecte 2026 - SCRIEM\2026.09.30 Acțiunea 2.1 POCIDIF\P1. Dancorproiect SRL\4. Dosar depunere\0. Arhiva DANCOR (beneficiar schimbat 16.07.2026)</t>
        </is>
      </c>
    </row>
    <row r="36">
      <c r="A36" s="2" t="inlineStr">
        <is>
          <t>\\192.168.100.169\Comun\00. Proiecte 2026 - SCRIEM</t>
        </is>
      </c>
      <c r="B36" s="2" t="inlineStr">
        <is>
          <t>\\192.168.100.169\Comun\00. Proiecte 2026 - SCRIEM\2026.09.30 Acțiunea 2.1 POCIDIF\P1. Dancorproiect SRL\4. Dosar depunere\Plan de afaceri</t>
        </is>
      </c>
    </row>
    <row r="37">
      <c r="A37" s="2" t="inlineStr">
        <is>
          <t>\\192.168.100.169\Comun\00. Proiecte 2026 - SCRIEM</t>
        </is>
      </c>
      <c r="B37" s="2" t="inlineStr">
        <is>
          <t>\\192.168.100.169\Comun\00. Proiecte 2026 - SCRIEM\2026.09.30 Acțiunea 2.1 POCIDIF\P1. Dancorproiect SRL\4. Dosar depunere\Plan de afaceri\0. Arhiva DANCOR</t>
        </is>
      </c>
    </row>
    <row r="38">
      <c r="A38" s="2" t="inlineStr">
        <is>
          <t>\\192.168.100.169\Comun\00. Proiecte 2026 - SCRIEM</t>
        </is>
      </c>
      <c r="B38" s="2" t="inlineStr">
        <is>
          <t>\\192.168.100.169\Comun\00. Proiecte 2026 - SCRIEM\2026.09.30 Acțiunea 2.1 POCIDIF\P1. Dancorproiect SRL\4. Dosar depunere (de completat)</t>
        </is>
      </c>
    </row>
    <row r="39">
      <c r="A39" s="2" t="inlineStr">
        <is>
          <t>\\192.168.100.169\Comun\00. Proiecte 2026 - SCRIEM</t>
        </is>
      </c>
      <c r="B39" s="2" t="inlineStr">
        <is>
          <t>\\192.168.100.169\Comun\00. Proiecte 2026 - SCRIEM\2026.09.30 Acțiunea 2.1 POCIDIF\P1. Dancorproiect SRL\4. Dosar depunere (de completat)\0. Arhiva</t>
        </is>
      </c>
    </row>
    <row r="40">
      <c r="A40" s="2" t="inlineStr">
        <is>
          <t>\\192.168.100.169\Comun\00. Proiecte 2026 - SCRIEM</t>
        </is>
      </c>
      <c r="B40" s="2" t="inlineStr">
        <is>
          <t>\\192.168.100.169\Comun\00. Proiecte 2026 - SCRIEM\2026.09.30 Acțiunea 2.1 POCIDIF\P1. Dancorproiect SRL\5. Locatie implementare (acte proprietate)</t>
        </is>
      </c>
    </row>
    <row r="41">
      <c r="A41" s="2" t="inlineStr">
        <is>
          <t>\\192.168.100.169\Comun\00. Proiecte 2026 - SCRIEM</t>
        </is>
      </c>
      <c r="B41" s="2" t="inlineStr">
        <is>
          <t>\\192.168.100.169\Comun\00. Proiecte 2026 - SCRIEM\2026.09.30 Acțiunea 2.1 POCIDIF\P1. Dancorproiect SRL\5. Locatie implementare (acte proprietate)\0. Arhiva</t>
        </is>
      </c>
    </row>
    <row r="42">
      <c r="A42" s="2" t="inlineStr">
        <is>
          <t>\\192.168.100.169\Comun\00. Proiecte 2026 - SCRIEM</t>
        </is>
      </c>
      <c r="B42" s="2" t="inlineStr">
        <is>
          <t>\\192.168.100.169\Comun\00. Proiecte 2026 - SCRIEM\2026.09.30 Acțiunea 2.1 POCIDIF\P1. Dancorproiect SRL\6. LOI si Protocoale pilot</t>
        </is>
      </c>
    </row>
    <row r="43">
      <c r="A43" s="2" t="inlineStr">
        <is>
          <t>\\192.168.100.169\Comun\00. Proiecte 2026 - SCRIEM</t>
        </is>
      </c>
      <c r="B43" s="2" t="inlineStr">
        <is>
          <t>\\192.168.100.169\Comun\00. Proiecte 2026 - SCRIEM\2026.09.30 Acțiunea 2.1 POCIDIF\P1. Dancorproiect SRL\6. LOI si Protocoale pilot\0. Arhiva</t>
        </is>
      </c>
    </row>
    <row r="44">
      <c r="A44" s="2" t="inlineStr">
        <is>
          <t>\\192.168.100.169\Comun\00. Proiecte 2026 - SCRIEM</t>
        </is>
      </c>
      <c r="B44" s="2" t="inlineStr">
        <is>
          <t>\\192.168.100.169\Comun\00. Proiecte 2026 - SCRIEM\2026.09.30 Acțiunea 2.1 POCIDIF\P1. Dancorproiect SRL\ACTE FIRMA</t>
        </is>
      </c>
    </row>
    <row r="45">
      <c r="A45" s="2" t="inlineStr">
        <is>
          <t>\\192.168.100.169\Comun\00. Proiecte 2026 - SCRIEM</t>
        </is>
      </c>
      <c r="B45" s="2" t="inlineStr">
        <is>
          <t>\\192.168.100.169\Comun\00. Proiecte 2026 - SCRIEM\2026.09.30 Acțiunea 2.1 POCIDIF\P1. Dancorproiect SRL\ACTE FIRMA\0. Arhiva</t>
        </is>
      </c>
    </row>
    <row r="46">
      <c r="A46" s="2" t="inlineStr">
        <is>
          <t>\\192.168.100.169\Comun\00. Proiecte 2026 - SCRIEM</t>
        </is>
      </c>
      <c r="B46" s="2" t="inlineStr">
        <is>
          <t>\\192.168.100.169\Comun\00. Proiecte 2026 - SCRIEM\2026.09.30 Acțiunea 2.1 POCIDIF\P1. Dancorproiect SRL\Anexe mysmis - de completat</t>
        </is>
      </c>
    </row>
    <row r="47">
      <c r="A47" s="2" t="inlineStr">
        <is>
          <t>\\192.168.100.169\Comun\00. Proiecte 2026 - SCRIEM</t>
        </is>
      </c>
      <c r="B47" s="2" t="inlineStr">
        <is>
          <t>\\192.168.100.169\Comun\00. Proiecte 2026 - SCRIEM\2026.09.30 Acțiunea 2.1 POCIDIF\P1. Dancorproiect SRL\Anexe mysmis - de completat\0. Arhiva</t>
        </is>
      </c>
    </row>
    <row r="48">
      <c r="A48" s="2" t="inlineStr">
        <is>
          <t>\\192.168.100.169\Comun\00. Proiecte 2026 - SCRIEM</t>
        </is>
      </c>
      <c r="B48" s="2" t="inlineStr">
        <is>
          <t>\\192.168.100.169\Comun\00. Proiecte 2026 - SCRIEM\2026.09.30 Acțiunea 2.1 POCIDIF\P1. Dancorproiect SRL\CV-uri</t>
        </is>
      </c>
    </row>
    <row r="49">
      <c r="A49" s="2" t="inlineStr">
        <is>
          <t>\\192.168.100.169\Comun\00. Proiecte 2026 - SCRIEM</t>
        </is>
      </c>
      <c r="B49" s="2" t="inlineStr">
        <is>
          <t>\\192.168.100.169\Comun\00. Proiecte 2026 - SCRIEM\2026.09.30 Acțiunea 2.1 POCIDIF\P1. Dancorproiect SRL\CV-uri\0. Arhiva</t>
        </is>
      </c>
    </row>
    <row r="50">
      <c r="A50" s="2" t="inlineStr">
        <is>
          <t>\\192.168.100.169\Comun\00. Proiecte 2026 - SCRIEM</t>
        </is>
      </c>
      <c r="B50" s="2" t="inlineStr">
        <is>
          <t>\\192.168.100.169\Comun\00. Proiecte 2026 - SCRIEM\2026.09.30 Acțiunea 2.1 POCIDIF\P1. Dancorproiect SRL\mysmis</t>
        </is>
      </c>
    </row>
    <row r="51">
      <c r="A51" s="2" t="inlineStr">
        <is>
          <t>\\192.168.100.169\Comun\00. Proiecte 2026 - SCRIEM</t>
        </is>
      </c>
      <c r="B51" s="2" t="inlineStr">
        <is>
          <t>\\192.168.100.169\Comun\00. Proiecte 2026 - SCRIEM\2026.09.30 Acțiunea 2.1 POCIDIF\P1. Dancorproiect SRL\mysmis\0. Arhiva</t>
        </is>
      </c>
    </row>
    <row r="52">
      <c r="A52" s="2" t="inlineStr">
        <is>
          <t>\\192.168.100.169\Comun\00. Proiecte 2026 - SCRIEM</t>
        </is>
      </c>
      <c r="B52" s="2" t="inlineStr">
        <is>
          <t>\\192.168.100.169\Comun\00. Proiecte 2026 - SCRIEM\2026.09.30 Acțiunea 2.1 POCIDIF\P1. SRM DESIGN SRL</t>
        </is>
      </c>
    </row>
    <row r="53">
      <c r="A53" s="2" t="inlineStr">
        <is>
          <t>\\192.168.100.169\Comun\00. Proiecte 2026 - SCRIEM</t>
        </is>
      </c>
      <c r="B53" s="2" t="inlineStr">
        <is>
          <t>\\192.168.100.169\Comun\00. Proiecte 2026 - SCRIEM\2026.09.30 Acțiunea 2.1 POCIDIF\P1. SRM DESIGN SRL\01. Documente firma</t>
        </is>
      </c>
    </row>
    <row r="54">
      <c r="A54" s="2" t="inlineStr">
        <is>
          <t>\\192.168.100.169\Comun\00. Proiecte 2026 - SCRIEM</t>
        </is>
      </c>
      <c r="B54" s="2" t="inlineStr">
        <is>
          <t>\\192.168.100.169\Comun\00. Proiecte 2026 - SCRIEM\2026.09.30 Acțiunea 2.1 POCIDIF\P1. SRM DESIGN SRL\01. Documente firma\Situatii financiare (bilant + cont profit-pierdere)</t>
        </is>
      </c>
    </row>
    <row r="55">
      <c r="A55" s="2" t="inlineStr">
        <is>
          <t>\\192.168.100.169\Comun\00. Proiecte 2026 - SCRIEM</t>
        </is>
      </c>
      <c r="B55" s="2" t="inlineStr">
        <is>
          <t>\\192.168.100.169\Comun\00. Proiecte 2026 - SCRIEM\2026.09.30 Acțiunea 2.1 POCIDIF\P1. SRM DESIGN SRL\02. Documente persoane (CV-uri, CI)</t>
        </is>
      </c>
    </row>
    <row r="56">
      <c r="A56" s="2" t="inlineStr">
        <is>
          <t>\\192.168.100.169\Comun\00. Proiecte 2026 - SCRIEM</t>
        </is>
      </c>
      <c r="B56" s="2" t="inlineStr">
        <is>
          <t>\\192.168.100.169\Comun\00. Proiecte 2026 - SCRIEM\2026.09.30 Acțiunea 2.1 POCIDIF\P1. SRM DESIGN SRL\03. Documente oficiale apel si modele anexe</t>
        </is>
      </c>
    </row>
    <row r="57">
      <c r="A57" s="2" t="inlineStr">
        <is>
          <t>\\192.168.100.169\Comun\00. Proiecte 2026 - SCRIEM</t>
        </is>
      </c>
      <c r="B57" s="2" t="inlineStr">
        <is>
          <t>\\192.168.100.169\Comun\00. Proiecte 2026 - SCRIEM\2026.09.30 Acțiunea 2.1 POCIDIF\P1. SRM DESIGN SRL\04. Locatie de implementare</t>
        </is>
      </c>
    </row>
    <row r="58">
      <c r="A58" s="2" t="inlineStr">
        <is>
          <t>\\192.168.100.169\Comun\00. Proiecte 2026 - SCRIEM</t>
        </is>
      </c>
      <c r="B58" s="2" t="inlineStr">
        <is>
          <t>\\192.168.100.169\Comun\00. Proiecte 2026 - SCRIEM\2026.09.30 Acțiunea 2.1 POCIDIF\P1. SRM DESIGN SRL\05. Autorizatii si avize</t>
        </is>
      </c>
    </row>
    <row r="59">
      <c r="A59" s="2" t="inlineStr">
        <is>
          <t>\\192.168.100.169\Comun\00. Proiecte 2026 - SCRIEM</t>
        </is>
      </c>
      <c r="B59" s="2" t="inlineStr">
        <is>
          <t>\\192.168.100.169\Comun\00. Proiecte 2026 - SCRIEM\2026.09.30 Acțiunea 2.1 POCIDIF\P1. SRM DESIGN SRL\10. Surse si analize tehnice</t>
        </is>
      </c>
    </row>
    <row r="60">
      <c r="A60" s="2" t="inlineStr">
        <is>
          <t>\\192.168.100.169\Comun\00. Proiecte 2026 - SCRIEM</t>
        </is>
      </c>
      <c r="B60" s="2" t="inlineStr">
        <is>
          <t>\\192.168.100.169\Comun\00. Proiecte 2026 - SCRIEM\2026.09.30 Acțiunea 2.1 POCIDIF\P1. SRM DESIGN SRL\11. Analize eligibilitate si audit</t>
        </is>
      </c>
    </row>
    <row r="61">
      <c r="A61" s="2" t="inlineStr">
        <is>
          <t>\\192.168.100.169\Comun\00. Proiecte 2026 - SCRIEM</t>
        </is>
      </c>
      <c r="B61" s="2" t="inlineStr">
        <is>
          <t>\\192.168.100.169\Comun\00. Proiecte 2026 - SCRIEM\2026.09.30 Acțiunea 2.1 POCIDIF\P1. SRM DESIGN SRL\12. Buget si proiectii financiare</t>
        </is>
      </c>
    </row>
    <row r="62">
      <c r="A62" s="2" t="inlineStr">
        <is>
          <t>\\192.168.100.169\Comun\00. Proiecte 2026 - SCRIEM</t>
        </is>
      </c>
      <c r="B62" s="2" t="inlineStr">
        <is>
          <t>\\192.168.100.169\Comun\00. Proiecte 2026 - SCRIEM\2026.09.30 Acțiunea 2.1 POCIDIF\P1. SRM DESIGN SRL\13. Plan de afaceri</t>
        </is>
      </c>
    </row>
    <row r="63">
      <c r="A63" s="2" t="inlineStr">
        <is>
          <t>\\192.168.100.169\Comun\00. Proiecte 2026 - SCRIEM</t>
        </is>
      </c>
      <c r="B63" s="2" t="inlineStr">
        <is>
          <t>\\192.168.100.169\Comun\00. Proiecte 2026 - SCRIEM\2026.09.30 Acțiunea 2.1 POCIDIF\P1. SRM DESIGN SRL\13. Plan de afaceri\0. Arhiva</t>
        </is>
      </c>
    </row>
    <row r="64">
      <c r="A64" s="2" t="inlineStr">
        <is>
          <t>\\192.168.100.169\Comun\00. Proiecte 2026 - SCRIEM</t>
        </is>
      </c>
      <c r="B64" s="2" t="inlineStr">
        <is>
          <t>\\192.168.100.169\Comun\00. Proiecte 2026 - SCRIEM\2026.09.30 Acțiunea 2.1 POCIDIF\P1. SRM DESIGN SRL\14. Documentatii MySMIS (sectiuni narative)</t>
        </is>
      </c>
    </row>
    <row r="65">
      <c r="A65" s="2" t="inlineStr">
        <is>
          <t>\\192.168.100.169\Comun\00. Proiecte 2026 - SCRIEM</t>
        </is>
      </c>
      <c r="B65" s="2" t="inlineStr">
        <is>
          <t>\\192.168.100.169\Comun\00. Proiecte 2026 - SCRIEM\2026.09.30 Acțiunea 2.1 POCIDIF\P1. SRM DESIGN SRL\15. LOI si protocoale pilot</t>
        </is>
      </c>
    </row>
    <row r="66">
      <c r="A66" s="2" t="inlineStr">
        <is>
          <t>\\192.168.100.169\Comun\00. Proiecte 2026 - SCRIEM</t>
        </is>
      </c>
      <c r="B66" s="2" t="inlineStr">
        <is>
          <t>\\192.168.100.169\Comun\00. Proiecte 2026 - SCRIEM\2026.09.30 Acțiunea 2.1 POCIDIF\P1. SRM DESIGN SRL\16. Oferte si rezonabilitatea costurilor</t>
        </is>
      </c>
    </row>
    <row r="67">
      <c r="A67" s="2" t="inlineStr">
        <is>
          <t>\\192.168.100.169\Comun\00. Proiecte 2026 - SCRIEM</t>
        </is>
      </c>
      <c r="B67" s="2" t="inlineStr">
        <is>
          <t>\\192.168.100.169\Comun\00. Proiecte 2026 - SCRIEM\2026.09.30 Acțiunea 2.1 POCIDIF\P1. SRM DESIGN SRL\19. Dosar de depunere</t>
        </is>
      </c>
    </row>
    <row r="68">
      <c r="A68" s="2" t="inlineStr">
        <is>
          <t>\\192.168.100.169\Comun\00. Proiecte 2026 - SCRIEM</t>
        </is>
      </c>
      <c r="B68" s="2" t="inlineStr">
        <is>
          <t>\\192.168.100.169\Comun\00. Proiecte 2026 - SCRIEM\2026.09.30 Acțiunea 2.1 POCIDIF\P1. SRM DESIGN SRL\19. Dosar de depunere\1. Pregatit (in lucru)</t>
        </is>
      </c>
    </row>
    <row r="69">
      <c r="A69" s="2" t="inlineStr">
        <is>
          <t>\\192.168.100.169\Comun\00. Proiecte 2026 - SCRIEM</t>
        </is>
      </c>
      <c r="B69" s="2" t="inlineStr">
        <is>
          <t>\\192.168.100.169\Comun\00. Proiecte 2026 - SCRIEM\2026.09.30 Acțiunea 2.1 POCIDIF\P1. SRM DESIGN SRL\19. Dosar de depunere\2. Auditat intern</t>
        </is>
      </c>
    </row>
    <row r="70">
      <c r="A70" s="2" t="inlineStr">
        <is>
          <t>\\192.168.100.169\Comun\00. Proiecte 2026 - SCRIEM</t>
        </is>
      </c>
      <c r="B70" s="2" t="inlineStr">
        <is>
          <t>\\192.168.100.169\Comun\00. Proiecte 2026 - SCRIEM\2026.09.30 Acțiunea 2.1 POCIDIF\P1. SRM DESIGN SRL\19. Dosar de depunere\3. Semnat si depus</t>
        </is>
      </c>
    </row>
    <row r="71">
      <c r="A71" s="2" t="inlineStr">
        <is>
          <t>\\192.168.100.169\Comun\00. Proiecte 2026 - SCRIEM</t>
        </is>
      </c>
      <c r="B71" s="2" t="inlineStr">
        <is>
          <t>\\192.168.100.169\Comun\00. Proiecte 2026 - SCRIEM\2026.09.30 Acțiunea 2.1 POCIDIF\P1. SRM DESIGN SRL\20. Clarificari (evaluare)</t>
        </is>
      </c>
    </row>
    <row r="72">
      <c r="A72" s="2" t="inlineStr">
        <is>
          <t>\\192.168.100.169\Comun\00. Proiecte 2026 - SCRIEM</t>
        </is>
      </c>
      <c r="B72" s="2" t="inlineStr">
        <is>
          <t>\\192.168.100.169\Comun\00. Proiecte 2026 - SCRIEM\2026.09.30 Acțiunea 2.1 POCIDIF\P1. SRM DESIGN SRL\30. Contractare</t>
        </is>
      </c>
    </row>
    <row r="73">
      <c r="A73" s="2" t="inlineStr">
        <is>
          <t>\\192.168.100.169\Comun\00. Proiecte 2026 - SCRIEM</t>
        </is>
      </c>
      <c r="B73" s="2" t="inlineStr">
        <is>
          <t>\\192.168.100.169\Comun\00. Proiecte 2026 - SCRIEM\2026.09.30 Acțiunea 2.1 POCIDIF\P1. SRM DESIGN SRL\40. Implementare</t>
        </is>
      </c>
    </row>
    <row r="74">
      <c r="A74" s="2" t="inlineStr">
        <is>
          <t>\\192.168.100.169\Comun\00. Proiecte 2026 - SCRIEM</t>
        </is>
      </c>
      <c r="B74" s="2" t="inlineStr">
        <is>
          <t>\\192.168.100.169\Comun\00. Proiecte 2026 - SCRIEM\2026.09.30 Acțiunea 2.1 POCIDIF\P1. SRM DESIGN SRL\40. Implementare\41. Achizitii</t>
        </is>
      </c>
    </row>
    <row r="75">
      <c r="A75" s="2" t="inlineStr">
        <is>
          <t>\\192.168.100.169\Comun\00. Proiecte 2026 - SCRIEM</t>
        </is>
      </c>
      <c r="B75" s="2" t="inlineStr">
        <is>
          <t>\\192.168.100.169\Comun\00. Proiecte 2026 - SCRIEM\2026.09.30 Acțiunea 2.1 POCIDIF\P1. SRM DESIGN SRL\40. Implementare\42. Receptii si punere in functiune</t>
        </is>
      </c>
    </row>
    <row r="76">
      <c r="A76" s="2" t="inlineStr">
        <is>
          <t>\\192.168.100.169\Comun\00. Proiecte 2026 - SCRIEM</t>
        </is>
      </c>
      <c r="B76" s="2" t="inlineStr">
        <is>
          <t>\\192.168.100.169\Comun\00. Proiecte 2026 - SCRIEM\2026.09.30 Acțiunea 2.1 POCIDIF\P1. SRM DESIGN SRL\40. Implementare\43. Personal proiect</t>
        </is>
      </c>
    </row>
    <row r="77">
      <c r="A77" s="2" t="inlineStr">
        <is>
          <t>\\192.168.100.169\Comun\00. Proiecte 2026 - SCRIEM</t>
        </is>
      </c>
      <c r="B77" s="2" t="inlineStr">
        <is>
          <t>\\192.168.100.169\Comun\00. Proiecte 2026 - SCRIEM\2026.09.30 Acțiunea 2.1 POCIDIF\P1. SRM DESIGN SRL\40. Implementare\44. Raportare progres</t>
        </is>
      </c>
    </row>
    <row r="78">
      <c r="A78" s="2" t="inlineStr">
        <is>
          <t>\\192.168.100.169\Comun\00. Proiecte 2026 - SCRIEM</t>
        </is>
      </c>
      <c r="B78" s="2" t="inlineStr">
        <is>
          <t>\\192.168.100.169\Comun\00. Proiecte 2026 - SCRIEM\2026.09.30 Acțiunea 2.1 POCIDIF\P1. SRM DESIGN SRL\40. Implementare\45. Informare si publicitate</t>
        </is>
      </c>
    </row>
    <row r="79">
      <c r="A79" s="2" t="inlineStr">
        <is>
          <t>\\192.168.100.169\Comun\00. Proiecte 2026 - SCRIEM</t>
        </is>
      </c>
      <c r="B79" s="2" t="inlineStr">
        <is>
          <t>\\192.168.100.169\Comun\00. Proiecte 2026 - SCRIEM\2026.09.30 Acțiunea 2.1 POCIDIF\P1. SRM DESIGN SRL\50. Cereri de plata si rambursare</t>
        </is>
      </c>
    </row>
    <row r="80">
      <c r="A80" s="2" t="inlineStr">
        <is>
          <t>\\192.168.100.169\Comun\00. Proiecte 2026 - SCRIEM</t>
        </is>
      </c>
      <c r="B80" s="2" t="inlineStr">
        <is>
          <t>\\192.168.100.169\Comun\00. Proiecte 2026 - SCRIEM\2026.09.30 Acțiunea 2.1 POCIDIF\P1. SRM DESIGN SRL\60. Monitorizare si durabilitate</t>
        </is>
      </c>
    </row>
    <row r="81">
      <c r="A81" s="2" t="inlineStr">
        <is>
          <t>\\192.168.100.169\Comun\00. Proiecte 2026 - SCRIEM</t>
        </is>
      </c>
      <c r="B81" s="2" t="inlineStr">
        <is>
          <t>\\192.168.100.169\Comun\00. Proiecte 2026 - SCRIEM\2026.09.30 Acțiunea 2.1 POCIDIF\P1. SRM DESIGN SRL\90. Arhiva</t>
        </is>
      </c>
    </row>
    <row r="82">
      <c r="A82" s="2" t="inlineStr">
        <is>
          <t>\\192.168.100.169\Comun\00. Proiecte 2026</t>
        </is>
      </c>
      <c r="B82" s="2" t="inlineStr">
        <is>
          <t>\\192.168.100.169\Comun\00. Proiecte 2026</t>
        </is>
      </c>
    </row>
    <row r="83">
      <c r="A83" s="2" t="inlineStr">
        <is>
          <t>\\192.168.100.169\Comun\00. Proiecte 2026</t>
        </is>
      </c>
      <c r="B83" s="2" t="inlineStr">
        <is>
          <t>\\192.168.100.169\Comun\00. Proiecte 2026\14.08.2026 - Schemă Energie Autoconsum V7 - iunie 2026</t>
        </is>
      </c>
    </row>
    <row r="84">
      <c r="A84" s="2" t="inlineStr">
        <is>
          <t>\\192.168.100.169\Comun\00. Proiecte 2026</t>
        </is>
      </c>
      <c r="B84" s="2" t="inlineStr">
        <is>
          <t>\\192.168.100.169\Comun\00. Proiecte 2026\2025.09.25(pana la epuizare fonduri) -SRL  IMM  CDI - P1 – 1.2.1 -Participarea IMM și organizațiilor de CDI în structuri, parteneriate și programe de colaborare</t>
        </is>
      </c>
    </row>
    <row r="85">
      <c r="A85" s="2" t="inlineStr">
        <is>
          <t>\\192.168.100.169\Comun\00. Proiecte 2026</t>
        </is>
      </c>
      <c r="B85" s="2" t="inlineStr">
        <is>
          <t>\\192.168.100.169\Comun\00. Proiecte 2026\2025.09.25(pana la epuizare fonduri) -SRL  IMM  CDI - P1 – 1.2.1 -Participarea IMM și organizațiilor de CDI în structuri, parteneriate și programe de colaborare\0.Arhiva</t>
        </is>
      </c>
    </row>
    <row r="86">
      <c r="A86" s="2" t="inlineStr">
        <is>
          <t>\\192.168.100.169\Comun\00. Proiecte 2026</t>
        </is>
      </c>
      <c r="B86" s="2" t="inlineStr">
        <is>
          <t>\\192.168.100.169\Comun\00. Proiecte 2026\2025.09.25(pana la epuizare fonduri) -SRL  IMM  CDI - P1 – 1.2.1 -Participarea IMM și organizațiilor de CDI în structuri, parteneriate și programe de colaborare\1. documente oficiale</t>
        </is>
      </c>
    </row>
    <row r="87">
      <c r="A87" s="2" t="inlineStr">
        <is>
          <t>\\192.168.100.169\Comun\00. Proiecte 2026</t>
        </is>
      </c>
      <c r="B87" s="2" t="inlineStr">
        <is>
          <t>\\192.168.100.169\Comun\00. Proiecte 2026\2025.09.25(pana la epuizare fonduri) -SRL  IMM  CDI - P1 – 1.2.1 -Participarea IMM și organizațiilor de CDI în structuri, parteneriate și programe de colaborare\1. documente oficiale\anexe</t>
        </is>
      </c>
    </row>
    <row r="88">
      <c r="A88" s="2" t="inlineStr">
        <is>
          <t>\\192.168.100.169\Comun\00. Proiecte 2026</t>
        </is>
      </c>
      <c r="B88" s="2" t="inlineStr">
        <is>
          <t>\\192.168.100.169\Comun\00. Proiecte 2026\2026.07.17 SRL ONG IN PARTENERIAT - P1 - 1.3.3 Platformă pilot de inovare deschisă</t>
        </is>
      </c>
    </row>
    <row r="89">
      <c r="A89" s="2" t="inlineStr">
        <is>
          <t>\\192.168.100.169\Comun\00. Proiecte 2026</t>
        </is>
      </c>
      <c r="B89" s="2" t="inlineStr">
        <is>
          <t>\\192.168.100.169\Comun\00. Proiecte 2026\2026.07.17 SRL ONG IN PARTENERIAT - P1 - 1.3.3 Platformă pilot de inovare deschisă\0.ARHIVA</t>
        </is>
      </c>
    </row>
    <row r="90">
      <c r="A90" s="2" t="inlineStr">
        <is>
          <t>\\192.168.100.169\Comun\00. Proiecte 2026</t>
        </is>
      </c>
      <c r="B90" s="2" t="inlineStr">
        <is>
          <t>\\192.168.100.169\Comun\00. Proiecte 2026\2026.07.17 SRL ONG IN PARTENERIAT - P1 - 1.3.3 Platformă pilot de inovare deschisă\1.DOCUMENTE OFICIALE</t>
        </is>
      </c>
    </row>
    <row r="91">
      <c r="A91" s="2" t="inlineStr">
        <is>
          <t>\\192.168.100.169\Comun\00. Proiecte 2026</t>
        </is>
      </c>
      <c r="B91" s="2" t="inlineStr">
        <is>
          <t>\\192.168.100.169\Comun\00. Proiecte 2026\2026.08.07 - P6 Sprijin pentru creșterea durabilă a întreprinderilor sociale și crearea de locuri de muncă</t>
        </is>
      </c>
    </row>
    <row r="92">
      <c r="A92" s="2" t="inlineStr">
        <is>
          <t>\\192.168.100.169\Comun\00. Proiecte 2026</t>
        </is>
      </c>
      <c r="B92" s="2" t="inlineStr">
        <is>
          <t>\\192.168.100.169\Comun\00. Proiecte 2026\2026.08.07 - P6 Sprijin pentru creșterea durabilă a întreprinderilor sociale și crearea de locuri de muncă\0.ARHIVA</t>
        </is>
      </c>
    </row>
    <row r="93">
      <c r="A93" s="2" t="inlineStr">
        <is>
          <t>\\192.168.100.169\Comun\00. Proiecte 2026</t>
        </is>
      </c>
      <c r="B93" s="2" t="inlineStr">
        <is>
          <t>\\192.168.100.169\Comun\00. Proiecte 2026\2026.08.07 - P6 Sprijin pentru creșterea durabilă a întreprinderilor sociale și crearea de locuri de muncă\1. DOCUMENTE OFICIALE</t>
        </is>
      </c>
    </row>
    <row r="94">
      <c r="A94" s="2" t="inlineStr">
        <is>
          <t>\\192.168.100.169\Comun\00. Proiecte 2026</t>
        </is>
      </c>
      <c r="B94" s="2" t="inlineStr">
        <is>
          <t>\\192.168.100.169\Comun\00. Proiecte 2026\2026.08.28 - ONG -P9 – 9.2 Pact de integritate</t>
        </is>
      </c>
    </row>
    <row r="95">
      <c r="A95" s="2" t="inlineStr">
        <is>
          <t>\\192.168.100.169\Comun\00. Proiecte 2026</t>
        </is>
      </c>
      <c r="B95" s="2" t="inlineStr">
        <is>
          <t>\\192.168.100.169\Comun\00. Proiecte 2026\2026.08.28 - ONG -P9 – 9.2 Pact de integritate\0.ARHIVA</t>
        </is>
      </c>
    </row>
    <row r="96">
      <c r="A96" s="2" t="inlineStr">
        <is>
          <t>\\192.168.100.169\Comun\00. Proiecte 2026</t>
        </is>
      </c>
      <c r="B96" s="2" t="inlineStr">
        <is>
          <t>\\192.168.100.169\Comun\00. Proiecte 2026\2026.08.28 - ONG -P9 – 9.2 Pact de integritate\1.DOCUMENTE OFICIALE</t>
        </is>
      </c>
    </row>
    <row r="97">
      <c r="A97" s="2" t="inlineStr">
        <is>
          <t>\\192.168.100.169\Comun\00. Proiecte 2026</t>
        </is>
      </c>
      <c r="B97" s="2" t="inlineStr">
        <is>
          <t>\\192.168.100.169\Comun\00. Proiecte 2026\2026.08.28 - ONG -P9 – 9.2 Pact de integritate\1.DOCUMENTE OFICIALE\ANEXE</t>
        </is>
      </c>
    </row>
    <row r="98">
      <c r="A98" s="2" t="inlineStr">
        <is>
          <t>\\192.168.100.169\Comun\00. Proiecte 2026</t>
        </is>
      </c>
      <c r="B98" s="2" t="inlineStr">
        <is>
          <t>\\192.168.100.169\Comun\00. Proiecte 2026\2026.08.28 - STEP-LLL – Competențe pentru viitor formare la locul de muncă și educația</t>
        </is>
      </c>
    </row>
    <row r="99">
      <c r="A99" s="2" t="inlineStr">
        <is>
          <t>\\192.168.100.169\Comun\00. Proiecte 2026</t>
        </is>
      </c>
      <c r="B99" s="2" t="inlineStr">
        <is>
          <t>\\192.168.100.169\Comun\00. Proiecte 2026\2026.08.28 - STEP-LLL – Competențe pentru viitor formare la locul de muncă și educația\0.ARHIVA</t>
        </is>
      </c>
    </row>
    <row r="100">
      <c r="A100" s="2" t="inlineStr">
        <is>
          <t>\\192.168.100.169\Comun\00. Proiecte 2026</t>
        </is>
      </c>
      <c r="B100" s="2" t="inlineStr">
        <is>
          <t>\\192.168.100.169\Comun\00. Proiecte 2026\2026.08.28 - STEP-LLL – Competențe pentru viitor formare la locul de muncă și educația\1.DOCUMENTE OFICIALE</t>
        </is>
      </c>
    </row>
    <row r="101">
      <c r="A101" s="2" t="inlineStr">
        <is>
          <t>\\192.168.100.169\Comun\00. Proiecte 2026</t>
        </is>
      </c>
      <c r="B101" s="2" t="inlineStr">
        <is>
          <t>\\192.168.100.169\Comun\00. Proiecte 2026\2026.08.31 - PoCIDIF – Acțiunea 1.1</t>
        </is>
      </c>
    </row>
    <row r="102">
      <c r="A102" s="2" t="inlineStr">
        <is>
          <t>\\192.168.100.169\Comun\00. Proiecte 2026</t>
        </is>
      </c>
      <c r="B102" s="2" t="inlineStr">
        <is>
          <t>\\192.168.100.169\Comun\00. Proiecte 2026\2026.08.31 - PoCIDIF – Acțiunea 1.1\0.ARHIVA</t>
        </is>
      </c>
    </row>
    <row r="103">
      <c r="A103" s="2" t="inlineStr">
        <is>
          <t>\\192.168.100.169\Comun\00. Proiecte 2026</t>
        </is>
      </c>
      <c r="B103" s="2" t="inlineStr">
        <is>
          <t>\\192.168.100.169\Comun\00. Proiecte 2026\2026.08.31 - PoCIDIF – Acțiunea 1.1\1. DOCUMENTE OFICIALE</t>
        </is>
      </c>
    </row>
    <row r="104">
      <c r="A104" s="2" t="inlineStr">
        <is>
          <t>\\192.168.100.169\Comun\00. Proiecte 2026</t>
        </is>
      </c>
      <c r="B104" s="2" t="inlineStr">
        <is>
          <t>\\192.168.100.169\Comun\00. Proiecte 2026\2026.10.20 - Administrator parc UAT IMM INDIRECT 1.5.2 Parcuri industriale în domenii RIS</t>
        </is>
      </c>
    </row>
    <row r="105">
      <c r="A105" s="2" t="inlineStr">
        <is>
          <t>\\192.168.100.169\Comun\00. Proiecte 2026</t>
        </is>
      </c>
      <c r="B105" s="2" t="inlineStr">
        <is>
          <t>\\192.168.100.169\Comun\00. Proiecte 2026\2026.10.20 - Administrator parc UAT IMM INDIRECT 1.5.2 Parcuri industriale în domenii RIS\0.ARHIVA</t>
        </is>
      </c>
    </row>
    <row r="106">
      <c r="A106" s="2" t="inlineStr">
        <is>
          <t>\\192.168.100.169\Comun\00. Proiecte 2026</t>
        </is>
      </c>
      <c r="B106" s="2" t="inlineStr">
        <is>
          <t>\\192.168.100.169\Comun\00. Proiecte 2026\2026.10.20 - Administrator parc UAT IMM INDIRECT 1.5.2 Parcuri industriale în domenii RIS\1. DOCUMENTE OFICIALE</t>
        </is>
      </c>
    </row>
    <row r="107">
      <c r="A107" s="2" t="inlineStr">
        <is>
          <t>\\192.168.100.169\Comun\00. Proiecte 2026</t>
        </is>
      </c>
      <c r="B107" s="2" t="inlineStr">
        <is>
          <t>\\192.168.100.169\Comun\00. Proiecte 2026\2026.10.20 - Administrator parc UAT IMM INDIRECT 1.5.2 Parcuri industriale în domenii RIS\1. DOCUMENTE OFICIALE\ANEXE</t>
        </is>
      </c>
    </row>
    <row r="108">
      <c r="A108" s="2" t="inlineStr">
        <is>
          <t>\\192.168.100.169\Comun\00. Proiecte 2026</t>
        </is>
      </c>
      <c r="B108" s="2" t="inlineStr">
        <is>
          <t>\\192.168.100.169\Comun\00. Proiecte 2026\2026.11.06 - clustere inm membre - P1-1.2.2 - CLUSTERE INOVATIVE</t>
        </is>
      </c>
    </row>
    <row r="109">
      <c r="A109" s="2" t="inlineStr">
        <is>
          <t>\\192.168.100.169\Comun\00. Proiecte 2026</t>
        </is>
      </c>
      <c r="B109" s="2" t="inlineStr">
        <is>
          <t>\\192.168.100.169\Comun\00. Proiecte 2026\2026.11.06 - clustere inm membre - P1-1.2.2 - CLUSTERE INOVATIVE\0.ARHIVA</t>
        </is>
      </c>
    </row>
    <row r="110">
      <c r="A110" s="2" t="inlineStr">
        <is>
          <t>\\192.168.100.169\Comun\00. Proiecte 2026</t>
        </is>
      </c>
      <c r="B110" s="2" t="inlineStr">
        <is>
          <t>\\192.168.100.169\Comun\00. Proiecte 2026\2026.11.06 - clustere inm membre - P1-1.2.2 - CLUSTERE INOVATIVE\1.DOCUMENTE OFICIALE</t>
        </is>
      </c>
    </row>
    <row r="111">
      <c r="A111" s="2" t="inlineStr">
        <is>
          <t>\\192.168.100.169\Comun\00. Proiecte 2026</t>
        </is>
      </c>
      <c r="B111" s="2" t="inlineStr">
        <is>
          <t>\\192.168.100.169\Comun\00. Proiecte 2026\2026.11.06 - clustere inm membre - P1-1.2.2 - CLUSTERE INOVATIVE\1.DOCUMENTE OFICIALE\ANEXE</t>
        </is>
      </c>
    </row>
    <row r="112">
      <c r="A112" s="2" t="inlineStr">
        <is>
          <t>\\192.168.100.169\Comun\00. Proiecte 2026</t>
        </is>
      </c>
      <c r="B112" s="2" t="inlineStr">
        <is>
          <t>\\192.168.100.169\Comun\00. Proiecte 2026\2026.12.30 - PoCIDIF – Acțiunea 2.4, EDIH Apel 2</t>
        </is>
      </c>
    </row>
    <row r="113">
      <c r="A113" s="2" t="inlineStr">
        <is>
          <t>\\192.168.100.169\Comun\00. Proiecte 2026</t>
        </is>
      </c>
      <c r="B113" s="2" t="inlineStr">
        <is>
          <t>\\192.168.100.169\Comun\00. Proiecte 2026\2026.12.30 - PoCIDIF – Acțiunea 2.4, EDIH Apel 2\0.ARHIVA</t>
        </is>
      </c>
    </row>
    <row r="114">
      <c r="A114" s="2" t="inlineStr">
        <is>
          <t>\\192.168.100.169\Comun\00. Proiecte 2026</t>
        </is>
      </c>
      <c r="B114" s="2" t="inlineStr">
        <is>
          <t>\\192.168.100.169\Comun\00. Proiecte 2026\2026.12.30 - PoCIDIF – Acțiunea 2.4, EDIH Apel 2\1.DOCUMENTE OFICIALE</t>
        </is>
      </c>
    </row>
    <row r="115">
      <c r="A115" s="2" t="inlineStr">
        <is>
          <t>\\192.168.100.169\Comun\00. Proiecte 2026</t>
        </is>
      </c>
      <c r="B115" s="2" t="inlineStr">
        <is>
          <t>\\192.168.100.169\Comun\00. Proiecte 2026\2028.08.14 -  Schemă de ajutor privind sprijinirea investițiilor în noi capacități de producere a energiei electrice</t>
        </is>
      </c>
    </row>
    <row r="116">
      <c r="A116" s="2" t="inlineStr">
        <is>
          <t>\\192.168.100.169\Comun\00. Proiecte 2026</t>
        </is>
      </c>
      <c r="B116" s="2" t="inlineStr">
        <is>
          <t>\\192.168.100.169\Comun\00. Proiecte 2026\2028.08.14 -  Schemă de ajutor privind sprijinirea investițiilor în noi capacități de producere a energiei electrice\0.ARHIVA</t>
        </is>
      </c>
    </row>
    <row r="117">
      <c r="A117" s="2" t="inlineStr">
        <is>
          <t>\\192.168.100.169\Comun\00. Proiecte 2026</t>
        </is>
      </c>
      <c r="B117" s="2" t="inlineStr">
        <is>
          <t>\\192.168.100.169\Comun\00. Proiecte 2026\2028.08.14 -  Schemă de ajutor privind sprijinirea investițiilor în noi capacități de producere a energiei electrice\1. DOCUMENTE OFICIALE</t>
        </is>
      </c>
    </row>
    <row r="118">
      <c r="A118" s="2" t="inlineStr">
        <is>
          <t>\\192.168.100.169\Comun\00. Proiecte 2026</t>
        </is>
      </c>
      <c r="B118" s="2" t="inlineStr">
        <is>
          <t>\\192.168.100.169\Comun\00. Proiecte 2026\9999. 2026.06.30 - FERME DR-19 Investiții neproductive la nivel de fermă</t>
        </is>
      </c>
    </row>
    <row r="119">
      <c r="A119" s="2" t="inlineStr">
        <is>
          <t>\\192.168.100.169\Comun\00. Proiecte 2026</t>
        </is>
      </c>
      <c r="B119" s="2" t="inlineStr">
        <is>
          <t>\\192.168.100.169\Comun\00. Proiecte 2026\9999. 2026.06.30 - FERME DR-19 Investiții neproductive la nivel de fermă\0.ARHIVA</t>
        </is>
      </c>
    </row>
    <row r="120">
      <c r="A120" s="2" t="inlineStr">
        <is>
          <t>\\192.168.100.169\Comun\00. Proiecte 2026</t>
        </is>
      </c>
      <c r="B120" s="2" t="inlineStr">
        <is>
          <t>\\192.168.100.169\Comun\00. Proiecte 2026\9999. 2026.06.30 - FERME DR-19 Investiții neproductive la nivel de fermă\1. DOCUMENTE OFICIALE</t>
        </is>
      </c>
    </row>
    <row r="121">
      <c r="A121" s="2" t="inlineStr">
        <is>
          <t>\\192.168.100.169\Comun\00. Proiecte 2026</t>
        </is>
      </c>
      <c r="B121" s="2" t="inlineStr">
        <is>
          <t>\\192.168.100.169\Comun\00. Proiecte 2026\9999. 2026.06.30 PEO P9 Conturi personale de învățare – Inovare prin formare</t>
        </is>
      </c>
    </row>
    <row r="122">
      <c r="A122" s="2" t="inlineStr">
        <is>
          <t>\\192.168.100.169\Comun\00. Proiecte 2026</t>
        </is>
      </c>
      <c r="B122" s="2" t="inlineStr">
        <is>
          <t>\\192.168.100.169\Comun\00. Proiecte 2026\9999. 2026.06.30 PEO P9 Conturi personale de învățare – Inovare prin formare\0.ARHIVA</t>
        </is>
      </c>
    </row>
    <row r="123">
      <c r="A123" s="2" t="inlineStr">
        <is>
          <t>\\192.168.100.169\Comun\00. Proiecte 2026</t>
        </is>
      </c>
      <c r="B123" s="2" t="inlineStr">
        <is>
          <t>\\192.168.100.169\Comun\00. Proiecte 2026\9999. 2026.06.30 PEO P9 Conturi personale de învățare – Inovare prin formare\1.DOCUMENTE OFICIALE</t>
        </is>
      </c>
    </row>
    <row r="124">
      <c r="A124" s="2" t="inlineStr">
        <is>
          <t>\\192.168.100.169\Comun\00. Proiecte 2026</t>
        </is>
      </c>
      <c r="B124" s="2" t="inlineStr">
        <is>
          <t>\\192.168.100.169\Comun\00. Proiecte 2026\9999. 2026.07.03 - P6 TRANZITIA FORTEI DE MUNCA</t>
        </is>
      </c>
    </row>
    <row r="125">
      <c r="A125" s="2" t="inlineStr">
        <is>
          <t>\\192.168.100.169\Comun\00. Proiecte 2026</t>
        </is>
      </c>
      <c r="B125" s="2" t="inlineStr">
        <is>
          <t>\\192.168.100.169\Comun\00. Proiecte 2026\9999. 2026.07.03 - P6 TRANZITIA FORTEI DE MUNCA\0.ARHIVA</t>
        </is>
      </c>
    </row>
    <row r="126">
      <c r="A126" s="2" t="inlineStr">
        <is>
          <t>\\192.168.100.169\Comun\00. Proiecte 2026</t>
        </is>
      </c>
      <c r="B126" s="2" t="inlineStr">
        <is>
          <t>\\192.168.100.169\Comun\00. Proiecte 2026\9999. 2026.07.03 - P6 TRANZITIA FORTEI DE MUNCA\1. DOCUMENTE OFICIALE</t>
        </is>
      </c>
    </row>
    <row r="127">
      <c r="A127" s="2" t="inlineStr">
        <is>
          <t>\\192.168.100.169\Comun\00. Proiecte 2026</t>
        </is>
      </c>
      <c r="B127" s="2" t="inlineStr">
        <is>
          <t>\\192.168.100.169\Comun\00. Proiecte 2026\9999. 2026.07.03 - P6 TRANZITIA FORTEI DE MUNCA\P1. Rose - RECONECT Mureș</t>
        </is>
      </c>
    </row>
    <row r="128">
      <c r="A128" s="2" t="inlineStr">
        <is>
          <t>\\192.168.100.169\Comun\00. Proiecte 2026</t>
        </is>
      </c>
      <c r="B128" s="2" t="inlineStr">
        <is>
          <t>\\192.168.100.169\Comun\00. Proiecte 2026\9999. 2026.07.17 - P1 2.1.2. Platformă regională pilot de open-inovation în domeniul smart-city</t>
        </is>
      </c>
    </row>
    <row r="129">
      <c r="A129" s="2" t="inlineStr">
        <is>
          <t>\\192.168.100.169\Comun\00. Proiecte 2026</t>
        </is>
      </c>
      <c r="B129" s="2" t="inlineStr">
        <is>
          <t>\\192.168.100.169\Comun\00. Proiecte 2026\9999. 2026.07.17 - P1 2.1.2. Platformă regională pilot de open-inovation în domeniul smart-city\0.ARHIVA</t>
        </is>
      </c>
    </row>
    <row r="130">
      <c r="A130" s="2" t="inlineStr">
        <is>
          <t>\\192.168.100.169\Comun\00. Proiecte 2026</t>
        </is>
      </c>
      <c r="B130" s="2" t="inlineStr">
        <is>
          <t>\\192.168.100.169\Comun\00. Proiecte 2026\9999. 2026.07.17 - P1 2.1.2. Platformă regională pilot de open-inovation în domeniul smart-city\1.DOCUMENTE OFICIALE</t>
        </is>
      </c>
    </row>
    <row r="131">
      <c r="A131" s="2" t="inlineStr">
        <is>
          <t>\\192.168.100.169\Comun\00. Proiecte 2026</t>
        </is>
      </c>
      <c r="B131" s="2" t="inlineStr">
        <is>
          <t>\\192.168.100.169\Comun\00. Proiecte 2026\9999. 2026.07.17 - P1 2.1.2. Platformă regională pilot de open-inovation în domeniul smart-city\1.DOCUMENTE OFICIALE\ANEXE</t>
        </is>
      </c>
    </row>
    <row r="132">
      <c r="A132" s="2" t="inlineStr">
        <is>
          <t>\\192.168.100.169\Comun\00. Proiecte 2026</t>
        </is>
      </c>
      <c r="B132" s="2" t="inlineStr">
        <is>
          <t>\\192.168.100.169\Comun\00. Proiecte 2026\lina</t>
        </is>
      </c>
    </row>
    <row r="133">
      <c r="A133" s="2" t="inlineStr">
        <is>
          <t>\\192.168.100.169\Comun\00. Proiecte 2026</t>
        </is>
      </c>
      <c r="B133" s="2" t="inlineStr">
        <is>
          <t>\\192.168.100.169\Comun\00. Proiecte 2026\lina\02.02.2027 - HORIZON CL4 2027 02 DIGITAL EMERGING 52</t>
        </is>
      </c>
    </row>
    <row r="134">
      <c r="A134" s="2" t="inlineStr">
        <is>
          <t>\\192.168.100.169\Comun\00. Proiecte 2026</t>
        </is>
      </c>
      <c r="B134" s="2" t="inlineStr">
        <is>
          <t>\\192.168.100.169\Comun\00. Proiecte 2026\lina\02.02.2027 HORIZON CL4 2027 01 MAT PROD 02</t>
        </is>
      </c>
    </row>
    <row r="135">
      <c r="A135" s="2" t="inlineStr">
        <is>
          <t>\\192.168.100.169\Comun\00. Proiecte 2026</t>
        </is>
      </c>
      <c r="B135" s="2" t="inlineStr">
        <is>
          <t>\\192.168.100.169\Comun\00. Proiecte 2026\lina\02.09.2026-04.11.2026 - eic accelerator open</t>
        </is>
      </c>
    </row>
    <row r="136">
      <c r="A136" s="2" t="inlineStr">
        <is>
          <t>\\192.168.100.169\Comun\00. Proiecte 2026</t>
        </is>
      </c>
      <c r="B136" s="2" t="inlineStr">
        <is>
          <t>\\192.168.100.169\Comun\00. Proiecte 2026\lina\09.09.2026 - HORIZON MSCA 2026 PF 01</t>
        </is>
      </c>
    </row>
    <row r="137">
      <c r="A137" s="2" t="inlineStr">
        <is>
          <t>\\192.168.100.169\Comun\00. Proiecte 2026</t>
        </is>
      </c>
      <c r="B137" s="2" t="inlineStr">
        <is>
          <t>\\192.168.100.169\Comun\00. Proiecte 2026\lina\10.09.2026 - EUROSTARS CALL 11</t>
        </is>
      </c>
    </row>
    <row r="138">
      <c r="A138" s="2" t="inlineStr">
        <is>
          <t>\\192.168.100.169\Comun\00. Proiecte 2026</t>
        </is>
      </c>
      <c r="B138" s="2" t="inlineStr">
        <is>
          <t>\\192.168.100.169\Comun\00. Proiecte 2026\lina\12.11.2026 - I3 2026 INV2A</t>
        </is>
      </c>
    </row>
    <row r="139">
      <c r="A139" s="2" t="inlineStr">
        <is>
          <t>\\192.168.100.169\Comun\00. Proiecte 2026</t>
        </is>
      </c>
      <c r="B139" s="2" t="inlineStr">
        <is>
          <t>\\192.168.100.169\Comun\00. Proiecte 2026\lina\12.11.2026 I3 2026 INV1</t>
        </is>
      </c>
    </row>
    <row r="140">
      <c r="A140" s="2" t="inlineStr">
        <is>
          <t>\\192.168.100.169\Comun\00. Proiecte 2026</t>
        </is>
      </c>
      <c r="B140" s="2" t="inlineStr">
        <is>
          <t>\\192.168.100.169\Comun\00. Proiecte 2026\lina\16.09.2026 - EIT-HEALTH-IU-2026</t>
        </is>
      </c>
    </row>
    <row r="141">
      <c r="A141" s="2" t="inlineStr">
        <is>
          <t>\\192.168.100.169\Comun\00. Proiecte 2026</t>
        </is>
      </c>
      <c r="B141" s="2" t="inlineStr">
        <is>
          <t>\\192.168.100.169\Comun\00. Proiecte 2026\lina\16.09.2026 - WOMAN TECHEU COHORTA 2026</t>
        </is>
      </c>
    </row>
    <row r="142">
      <c r="A142" s="2" t="inlineStr">
        <is>
          <t>\\192.168.100.169\Comun\00. Proiecte 2026</t>
        </is>
      </c>
      <c r="B142" s="2" t="inlineStr">
        <is>
          <t>\\192.168.100.169\Comun\00. Proiecte 2026\lina\18.03.2027 - HORIZON CL4 20207 04 DIGITAL ENERGING 05</t>
        </is>
      </c>
    </row>
    <row r="143">
      <c r="A143" s="2" t="inlineStr">
        <is>
          <t>\\192.168.100.169\Comun\00. Proiecte 2026</t>
        </is>
      </c>
      <c r="B143" s="2" t="inlineStr">
        <is>
          <t>\\192.168.100.169\Comun\00. Proiecte 2026\lina\18.03.2027 HORIZON-CL4-2027-04-DIGITAL-EMERGING-04</t>
        </is>
      </c>
    </row>
    <row r="144">
      <c r="A144" s="2" t="inlineStr">
        <is>
          <t>\\192.168.100.169\Comun\00. Proiecte 2026</t>
        </is>
      </c>
      <c r="B144" s="2" t="inlineStr">
        <is>
          <t>\\192.168.100.169\Comun\00. Proiecte 2026\lina\CALLANGE 1-2 25.08.2026 CALLANGE 3-4 08.09.2026 AI BOOST ACC 2026</t>
        </is>
      </c>
    </row>
    <row r="145">
      <c r="A145" s="2" t="inlineStr">
        <is>
          <t>\\192.168.100.169\Comun\00. Proiecte 2026</t>
        </is>
      </c>
      <c r="B145" s="2" t="inlineStr">
        <is>
          <t>\\192.168.100.169\Comun\00. Proiecte 2026\situatii financiare 2023-2025</t>
        </is>
      </c>
    </row>
  </sheetData>
  <autoFilter ref="A1:B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8" customWidth="1" min="1" max="1"/>
    <col width="75" customWidth="1" min="2" max="2"/>
    <col width="16" customWidth="1" min="3" max="3"/>
    <col width="16" customWidth="1" min="4" max="4"/>
    <col width="26.6" customWidth="1" min="5" max="5"/>
  </cols>
  <sheetData>
    <row r="1">
      <c r="A1" s="1" t="inlineStr">
        <is>
          <t>Folder</t>
        </is>
      </c>
      <c r="B1" s="1" t="inlineStr">
        <is>
          <t>Scop</t>
        </is>
      </c>
      <c r="C1" s="1" t="inlineStr">
        <is>
          <t>Responsabil</t>
        </is>
      </c>
      <c r="D1" s="1" t="inlineStr">
        <is>
          <t>Stare</t>
        </is>
      </c>
      <c r="E1" s="1" t="inlineStr">
        <is>
          <t>Criteriu finalizare</t>
        </is>
      </c>
    </row>
    <row r="2">
      <c r="A2" s="2" t="inlineStr">
        <is>
          <t>00. Arhiva</t>
        </is>
      </c>
      <c r="B2" s="2" t="inlineStr">
        <is>
          <t>Versiuni înlocuite și documente retrase. Păstrați motivul și data retragerii; nu ștergeți documentele depuse sau semnate.</t>
        </is>
      </c>
      <c r="C2" s="2" t="inlineStr">
        <is>
          <t>De desemnat</t>
        </is>
      </c>
      <c r="D2" s="2" t="inlineStr">
        <is>
          <t>De pregătit</t>
        </is>
      </c>
      <c r="E2" s="2" t="inlineStr">
        <is>
          <t>Dovezi complete și verificate în dosar</t>
        </is>
      </c>
    </row>
    <row r="3">
      <c r="A3" s="2" t="inlineStr">
        <is>
          <t>01. Documente originale</t>
        </is>
      </c>
      <c r="B3" s="2" t="inlineStr">
        <is>
          <t>Actele normative, ghidul și anexele goale rămân în forma descărcată. Înregistrați URL, emitent, data publicării, data descărcării și versiunea. Copiile prin terți se marchează distinct.</t>
        </is>
      </c>
      <c r="C3" s="2" t="inlineStr">
        <is>
          <t>De desemnat</t>
        </is>
      </c>
      <c r="D3" s="2" t="inlineStr">
        <is>
          <t>De pregătit</t>
        </is>
      </c>
      <c r="E3" s="2" t="inlineStr">
        <is>
          <t>Dovezi complete și verificate în dosar</t>
        </is>
      </c>
    </row>
    <row r="4">
      <c r="A4" s="2" t="inlineStr">
        <is>
          <t>02. Coordonare si registre</t>
        </is>
      </c>
      <c r="B4" s="2" t="inlineStr">
        <is>
          <t>Registrul unic, responsabili, calendar, decizii și lista blocajelor. Sarcinile interne nu reprezintă termene oficiale de apel.</t>
        </is>
      </c>
      <c r="C4" s="2" t="inlineStr">
        <is>
          <t>De desemnat</t>
        </is>
      </c>
      <c r="D4" s="2" t="inlineStr">
        <is>
          <t>De pregătit</t>
        </is>
      </c>
      <c r="E4" s="2" t="inlineStr">
        <is>
          <t>Dovezi complete și verificate în dosar</t>
        </is>
      </c>
    </row>
    <row r="5">
      <c r="A5" s="2" t="inlineStr">
        <is>
          <t>03. Cercetare si inventar</t>
        </is>
      </c>
      <c r="B5" s="2" t="inlineStr">
        <is>
          <t>Inventarul celor două rădăcini, sursele web, analiza comparativă și limitele verificării. Documentele altor programe nu sunt anexe eDrive.</t>
        </is>
      </c>
      <c r="C5" s="2" t="inlineStr">
        <is>
          <t>De desemnat</t>
        </is>
      </c>
      <c r="D5" s="2" t="inlineStr">
        <is>
          <t>De pregătit</t>
        </is>
      </c>
      <c r="E5" s="2" t="inlineStr">
        <is>
          <t>Dovezi complete și verificate în dosar</t>
        </is>
      </c>
    </row>
    <row r="6">
      <c r="A6" s="2" t="inlineStr">
        <is>
          <t>10. Eligibilitate solicitant si minimis</t>
        </is>
      </c>
      <c r="B6" s="2" t="inlineStr">
        <is>
          <t>CUI, certificat ONRC, IMM și întreprinderi legate, situații financiare, fiscalitate, cumulul minimis pe întreprindere unică. Validați excluderile și capacitatea financiară.</t>
        </is>
      </c>
      <c r="C6" s="2" t="inlineStr">
        <is>
          <t>De desemnat</t>
        </is>
      </c>
      <c r="D6" s="2" t="inlineStr">
        <is>
          <t>De pregătit</t>
        </is>
      </c>
      <c r="E6" s="2" t="inlineStr">
        <is>
          <t>Dovezi complete și verificate în dosar</t>
        </is>
      </c>
    </row>
    <row r="7">
      <c r="A7" s="2" t="inlineStr">
        <is>
          <t>11. Flota existenta si inlocuire</t>
        </is>
      </c>
      <c r="B7" s="2" t="inlineStr">
        <is>
          <t>Pentru fiecare vehicul: ID intern și VIN, categorie, proprietar, talon, CIV, RCA, ITP și perioada de deținere. Excepția promisiunii se analizează conform OMTI817 și clarificărilor MTI.</t>
        </is>
      </c>
      <c r="C7" s="2" t="inlineStr">
        <is>
          <t>De desemnat</t>
        </is>
      </c>
      <c r="D7" s="2" t="inlineStr">
        <is>
          <t>De pregătit</t>
        </is>
      </c>
      <c r="E7" s="2" t="inlineStr">
        <is>
          <t>Dovezi complete și verificate în dosar</t>
        </is>
      </c>
    </row>
    <row r="8">
      <c r="A8" s="2" t="inlineStr">
        <is>
          <t>12. Analiza oportunitate si DNSH</t>
        </is>
      </c>
      <c r="B8" s="2" t="inlineStr">
        <is>
          <t>Justificați necesitatea, dimensionarea flotei, opțiunea electrică, utilizarea, încărcarea și durabilitatea. Cerințele finale DNSH se completează după ghid.</t>
        </is>
      </c>
      <c r="C8" s="2" t="inlineStr">
        <is>
          <t>De desemnat</t>
        </is>
      </c>
      <c r="D8" s="2" t="inlineStr">
        <is>
          <t>De pregătit</t>
        </is>
      </c>
      <c r="E8" s="2" t="inlineStr">
        <is>
          <t>Dovezi complete și verificate în dosar</t>
        </is>
      </c>
    </row>
    <row r="9">
      <c r="A9" s="2" t="inlineStr">
        <is>
          <t>13. Oferte si documente tehnice</t>
        </is>
      </c>
      <c r="B9" s="2" t="inlineStr">
        <is>
          <t>Oferte comparabile, configurații, preț fără TVA, TVA separat, categorie/grupă echivalentă, termen livrare și dovada asamblării finale UE. Nu confundați ofertele cu comenzi ferme.</t>
        </is>
      </c>
      <c r="C9" s="2" t="inlineStr">
        <is>
          <t>De desemnat</t>
        </is>
      </c>
      <c r="D9" s="2" t="inlineStr">
        <is>
          <t>De pregătit</t>
        </is>
      </c>
      <c r="E9" s="2" t="inlineStr">
        <is>
          <t>Dovezi complete și verificate în dosar</t>
        </is>
      </c>
    </row>
    <row r="10">
      <c r="A10" s="2" t="inlineStr">
        <is>
          <t>14. Buget TVA si surse proprii</t>
        </is>
      </c>
      <c r="B10" s="2" t="inlineStr">
        <is>
          <t>Calculați grantul limitat de costul eligibil, plafonul pe M1 și soldul minimis. TVA și diferențele sunt finanțate separat. Verificați cursul prevăzut în schema actuală și ghid.</t>
        </is>
      </c>
      <c r="C10" s="2" t="inlineStr">
        <is>
          <t>De desemnat</t>
        </is>
      </c>
      <c r="D10" s="2" t="inlineStr">
        <is>
          <t>De pregătit</t>
        </is>
      </c>
      <c r="E10" s="2" t="inlineStr">
        <is>
          <t>Dovezi complete și verificate în dosar</t>
        </is>
      </c>
    </row>
    <row r="11">
      <c r="A11" s="2" t="inlineStr">
        <is>
          <t>15. Cerere si anexe in lucru</t>
        </is>
      </c>
      <c r="B11" s="2" t="inlineStr">
        <is>
          <t>Copii editabile ale modelelor oficiale, versiuni datate, verificare în patru ochi. Modelele interne sunt marcate NEoficial și nu se depun ca anexe ministeriale.</t>
        </is>
      </c>
      <c r="C11" s="2" t="inlineStr">
        <is>
          <t>De desemnat</t>
        </is>
      </c>
      <c r="D11" s="2" t="inlineStr">
        <is>
          <t>De pregătit</t>
        </is>
      </c>
      <c r="E11" s="2" t="inlineStr">
        <is>
          <t>Dovezi complete și verificate în dosar</t>
        </is>
      </c>
    </row>
    <row r="12">
      <c r="A12" s="2" t="inlineStr">
        <is>
          <t>19. Dosar depunere</t>
        </is>
      </c>
      <c r="B12" s="2" t="inlineStr">
        <is>
          <t>Separare între pregătit, semnat și depus. Păstrați exact fișierele încărcate, semnăturile, exportul cererii și recipisa cu data/ora; pachetul depus nu se suprascrie.</t>
        </is>
      </c>
      <c r="C12" s="2" t="inlineStr">
        <is>
          <t>De desemnat</t>
        </is>
      </c>
      <c r="D12" s="2" t="inlineStr">
        <is>
          <t>De pregătit</t>
        </is>
      </c>
      <c r="E12" s="2" t="inlineStr">
        <is>
          <t>Dovezi complete și verificate în dosar</t>
        </is>
      </c>
    </row>
    <row r="13">
      <c r="A13" s="2" t="inlineStr">
        <is>
          <t>20. Evaluare clarificari si contestatii</t>
        </is>
      </c>
      <c r="B13" s="2" t="inlineStr">
        <is>
          <t>O submapă pentru fiecare solicitare, termen oficial, răspuns semnat și dovada transmiterii. Păstrați punctajul și deciziile de admitere/respingere.</t>
        </is>
      </c>
      <c r="C13" s="2" t="inlineStr">
        <is>
          <t>De desemnat</t>
        </is>
      </c>
      <c r="D13" s="2" t="inlineStr">
        <is>
          <t>De pregătit</t>
        </is>
      </c>
      <c r="E13" s="2" t="inlineStr">
        <is>
          <t>Dovezi complete și verificate în dosar</t>
        </is>
      </c>
    </row>
    <row r="14">
      <c r="A14" s="2" t="inlineStr">
        <is>
          <t>30. Contractare</t>
        </is>
      </c>
      <c r="B14" s="2" t="inlineStr">
        <is>
          <t>Documentele actualizate, verificarea cumulului minimis la acordare, contribuția proprie, contractul de finanțare și actele adiționale.</t>
        </is>
      </c>
      <c r="C14" s="2" t="inlineStr">
        <is>
          <t>De desemnat</t>
        </is>
      </c>
      <c r="D14" s="2" t="inlineStr">
        <is>
          <t>De pregătit</t>
        </is>
      </c>
      <c r="E14" s="2" t="inlineStr">
        <is>
          <t>Dovezi complete și verificate în dosar</t>
        </is>
      </c>
    </row>
    <row r="15">
      <c r="A15" s="2" t="inlineStr">
        <is>
          <t>40. Implementare</t>
        </is>
      </c>
      <c r="B15" s="2" t="inlineStr">
        <is>
          <t>Achiziția conform regulilor apelului, comenzi/contracte, recepție, VIN și înmatriculare, casarea în termen și raportarea. Calendar distinct pentru fiecare vehicul.</t>
        </is>
      </c>
      <c r="C15" s="2" t="inlineStr">
        <is>
          <t>De desemnat</t>
        </is>
      </c>
      <c r="D15" s="2" t="inlineStr">
        <is>
          <t>De pregătit</t>
        </is>
      </c>
      <c r="E15" s="2" t="inlineStr">
        <is>
          <t>Dovezi complete și verificate în dosar</t>
        </is>
      </c>
    </row>
    <row r="16">
      <c r="A16" s="2" t="inlineStr">
        <is>
          <t>50. Plata rambursare si contabilitate</t>
        </is>
      </c>
      <c r="B16" s="2" t="inlineStr">
        <is>
          <t>Facturi, dovezi de plată, extrase, cereri de rambursare/plată potrivit mecanismului din ghid, verificări și încasări. Evidență contabilă distinctă și evitarea dublei finanțări.</t>
        </is>
      </c>
      <c r="C16" s="2" t="inlineStr">
        <is>
          <t>De desemnat</t>
        </is>
      </c>
      <c r="D16" s="2" t="inlineStr">
        <is>
          <t>De pregătit</t>
        </is>
      </c>
      <c r="E16" s="2" t="inlineStr">
        <is>
          <t>Dovezi complete și verificate în dosar</t>
        </is>
      </c>
    </row>
    <row r="17">
      <c r="A17" s="2" t="inlineStr">
        <is>
          <t>60. Monitorizare si durabilitate</t>
        </is>
      </c>
      <c r="B17" s="2" t="inlineStr">
        <is>
          <t>Menținerea investiției pe 5 ani de la finalizarea implementării. Inventar, utilizare, asigurări și rapoarte. Pentru măsura2, evidența procentului km în România.</t>
        </is>
      </c>
      <c r="C17" s="2" t="inlineStr">
        <is>
          <t>De desemnat</t>
        </is>
      </c>
      <c r="D17" s="2" t="inlineStr">
        <is>
          <t>De pregătit</t>
        </is>
      </c>
      <c r="E17" s="2" t="inlineStr">
        <is>
          <t>Dovezi complete și verificate în dosar</t>
        </is>
      </c>
    </row>
    <row r="18">
      <c r="A18" s="2" t="inlineStr">
        <is>
          <t>70. Audit control si nereguli</t>
        </is>
      </c>
      <c r="B18" s="2" t="inlineStr">
        <is>
          <t>Solicitări ale autorităților, documente furnizate, procese-verbale, remedieri și eventuale recuperări. Trasabilitate între ofertă, contract, factură, plată și vehicul.</t>
        </is>
      </c>
      <c r="C18" s="2" t="inlineStr">
        <is>
          <t>De desemnat</t>
        </is>
      </c>
      <c r="D18" s="2" t="inlineStr">
        <is>
          <t>De pregătit</t>
        </is>
      </c>
      <c r="E18" s="2" t="inlineStr">
        <is>
          <t>Dovezi complete și verificate în dosar</t>
        </is>
      </c>
    </row>
    <row r="19">
      <c r="A19" s="2" t="inlineStr">
        <is>
          <t>80. Inchidere proiect si arhivare finala</t>
        </is>
      </c>
      <c r="B19" s="2" t="inlineStr">
        <is>
          <t>Raport final, acceptare finală, reconciliere, expirarea durabilității și inventar de arhivă. Păstrarea documentelor respectă schema/contractul și termenele legale; nu declanșați ștergeri automate.</t>
        </is>
      </c>
      <c r="C19" s="2" t="inlineStr">
        <is>
          <t>De desemnat</t>
        </is>
      </c>
      <c r="D19" s="2" t="inlineStr">
        <is>
          <t>De pregătit</t>
        </is>
      </c>
      <c r="E19" s="2" t="inlineStr">
        <is>
          <t>Dovezi complete și verificate în dosar</t>
        </is>
      </c>
    </row>
  </sheetData>
  <autoFilter ref="A1:E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8.2" customWidth="1" min="3" max="3"/>
    <col width="28" customWidth="1" min="4" max="4"/>
    <col width="30.1" customWidth="1" min="5" max="5"/>
    <col width="16" customWidth="1" min="6" max="6"/>
    <col width="16" customWidth="1" min="7" max="7"/>
    <col width="16" customWidth="1" min="8" max="8"/>
    <col width="16" customWidth="1" min="9" max="9"/>
    <col width="16" customWidth="1" min="10" max="10"/>
  </cols>
  <sheetData>
    <row r="1">
      <c r="A1" s="1" t="inlineStr">
        <is>
          <t>ID</t>
        </is>
      </c>
      <c r="B1" s="1" t="inlineStr">
        <is>
          <t>Sarcină</t>
        </is>
      </c>
      <c r="C1" s="1" t="inlineStr">
        <is>
          <t>Rol propus</t>
        </is>
      </c>
      <c r="D1" s="1" t="inlineStr">
        <is>
          <t>Folder</t>
        </is>
      </c>
      <c r="E1" s="1" t="inlineStr">
        <is>
          <t>Dovadă</t>
        </is>
      </c>
      <c r="F1" s="1" t="inlineStr">
        <is>
          <t>Bază</t>
        </is>
      </c>
      <c r="G1" s="1" t="inlineStr">
        <is>
          <t>Responsabil nume</t>
        </is>
      </c>
      <c r="H1" s="1" t="inlineStr">
        <is>
          <t>Termen oficial</t>
        </is>
      </c>
      <c r="I1" s="1" t="inlineStr">
        <is>
          <t>Stare</t>
        </is>
      </c>
      <c r="J1" s="1" t="inlineStr">
        <is>
          <t>Observații</t>
        </is>
      </c>
    </row>
    <row r="2">
      <c r="A2" s="2" t="inlineStr">
        <is>
          <t>E01</t>
        </is>
      </c>
      <c r="B2" s="2" t="inlineStr">
        <is>
          <t>Confirmare ghid final și calendar</t>
        </is>
      </c>
      <c r="C2" s="2" t="inlineStr">
        <is>
          <t>Consultant</t>
        </is>
      </c>
      <c r="D2" s="2" t="inlineStr">
        <is>
          <t>01. Documente originale</t>
        </is>
      </c>
      <c r="E2" s="2" t="inlineStr">
        <is>
          <t>Ghid și anunț oficial salvate</t>
        </is>
      </c>
      <c r="F2" s="2" t="inlineStr">
        <is>
          <t>S05</t>
        </is>
      </c>
      <c r="G2" s="2" t="inlineStr"/>
      <c r="H2" s="2" t="inlineStr"/>
      <c r="I2" s="2" t="inlineStr">
        <is>
          <t>De pregătit</t>
        </is>
      </c>
      <c r="J2" s="2" t="inlineStr"/>
    </row>
    <row r="3">
      <c r="A3" s="2" t="inlineStr">
        <is>
          <t>E02</t>
        </is>
      </c>
      <c r="B3" s="2" t="inlineStr">
        <is>
          <t>Identificare firmă și reprezentant</t>
        </is>
      </c>
      <c r="C3" s="2" t="inlineStr">
        <is>
          <t>Administrator</t>
        </is>
      </c>
      <c r="D3" s="2" t="inlineStr">
        <is>
          <t>10. Eligibilitate solicitant si minimis</t>
        </is>
      </c>
      <c r="E3" s="2" t="inlineStr">
        <is>
          <t>ONRC și CUI validate</t>
        </is>
      </c>
      <c r="F3" s="2" t="inlineStr">
        <is>
          <t>S01 art.7</t>
        </is>
      </c>
      <c r="G3" s="2" t="inlineStr"/>
      <c r="H3" s="2" t="inlineStr"/>
      <c r="I3" s="2" t="inlineStr">
        <is>
          <t>De pregătit</t>
        </is>
      </c>
      <c r="J3" s="2" t="inlineStr"/>
    </row>
    <row r="4">
      <c r="A4" s="2" t="inlineStr">
        <is>
          <t>E03</t>
        </is>
      </c>
      <c r="B4" s="2" t="inlineStr">
        <is>
          <t>Încadrare IMM și întreprindere unică</t>
        </is>
      </c>
      <c r="C4" s="2" t="inlineStr">
        <is>
          <t>Financiar + consultant</t>
        </is>
      </c>
      <c r="D4" s="2" t="inlineStr">
        <is>
          <t>10. Eligibilitate solicitant si minimis</t>
        </is>
      </c>
      <c r="E4" s="2" t="inlineStr">
        <is>
          <t>Organigramă grup și calcul IMM</t>
        </is>
      </c>
      <c r="F4" s="2" t="inlineStr">
        <is>
          <t>S01 art.6–7</t>
        </is>
      </c>
      <c r="G4" s="2" t="inlineStr"/>
      <c r="H4" s="2" t="inlineStr"/>
      <c r="I4" s="2" t="inlineStr">
        <is>
          <t>De pregătit</t>
        </is>
      </c>
      <c r="J4" s="2" t="inlineStr"/>
    </row>
    <row r="5">
      <c r="A5" s="2" t="inlineStr">
        <is>
          <t>E04</t>
        </is>
      </c>
      <c r="B5" s="2" t="inlineStr">
        <is>
          <t>Registru minimis complet și sold</t>
        </is>
      </c>
      <c r="C5" s="2" t="inlineStr">
        <is>
          <t>Financiar</t>
        </is>
      </c>
      <c r="D5" s="2" t="inlineStr">
        <is>
          <t>10. Eligibilitate solicitant si minimis</t>
        </is>
      </c>
      <c r="E5" s="2" t="inlineStr">
        <is>
          <t>Acte acordare + verificare cumul</t>
        </is>
      </c>
      <c r="F5" s="2" t="inlineStr">
        <is>
          <t>S01 art.8,16,20</t>
        </is>
      </c>
      <c r="G5" s="2" t="inlineStr"/>
      <c r="H5" s="2" t="inlineStr"/>
      <c r="I5" s="2" t="inlineStr">
        <is>
          <t>De pregătit</t>
        </is>
      </c>
      <c r="J5" s="2" t="inlineStr"/>
    </row>
    <row r="6">
      <c r="A6" s="2" t="inlineStr">
        <is>
          <t>E05</t>
        </is>
      </c>
      <c r="B6" s="2" t="inlineStr">
        <is>
          <t>Fiscal și capacitate financiară</t>
        </is>
      </c>
      <c r="C6" s="2" t="inlineStr">
        <is>
          <t>Financiar</t>
        </is>
      </c>
      <c r="D6" s="2" t="inlineStr">
        <is>
          <t>10. Eligibilitate solicitant si minimis</t>
        </is>
      </c>
      <c r="E6" s="2" t="inlineStr">
        <is>
          <t>Certificate și solvabilitate / confort</t>
        </is>
      </c>
      <c r="F6" s="2" t="inlineStr">
        <is>
          <t>S01 art.10</t>
        </is>
      </c>
      <c r="G6" s="2" t="inlineStr"/>
      <c r="H6" s="2" t="inlineStr"/>
      <c r="I6" s="2" t="inlineStr">
        <is>
          <t>De pregătit</t>
        </is>
      </c>
      <c r="J6" s="2" t="inlineStr"/>
    </row>
    <row r="7">
      <c r="A7" s="2" t="inlineStr">
        <is>
          <t>E06</t>
        </is>
      </c>
      <c r="B7" s="2" t="inlineStr">
        <is>
          <t>Inventariere flota de înlocuit</t>
        </is>
      </c>
      <c r="C7" s="2" t="inlineStr">
        <is>
          <t>Responsabil flotă</t>
        </is>
      </c>
      <c r="D7" s="2" t="inlineStr">
        <is>
          <t>11. Flota existenta si inlocuire</t>
        </is>
      </c>
      <c r="E7" s="2" t="inlineStr">
        <is>
          <t>Talon CIV RCA ITP și istoric</t>
        </is>
      </c>
      <c r="F7" s="2" t="inlineStr">
        <is>
          <t>S01 art.5</t>
        </is>
      </c>
      <c r="G7" s="2" t="inlineStr"/>
      <c r="H7" s="2" t="inlineStr"/>
      <c r="I7" s="2" t="inlineStr">
        <is>
          <t>De pregătit</t>
        </is>
      </c>
      <c r="J7" s="2" t="inlineStr"/>
    </row>
    <row r="8">
      <c r="A8" s="2" t="inlineStr">
        <is>
          <t>E07</t>
        </is>
      </c>
      <c r="B8" s="2" t="inlineStr">
        <is>
          <t>Promisiune notarială dacă este cazul</t>
        </is>
      </c>
      <c r="C8" s="2" t="inlineStr">
        <is>
          <t>Administrator</t>
        </is>
      </c>
      <c r="D8" s="2" t="inlineStr">
        <is>
          <t>11. Flota existenta si inlocuire</t>
        </is>
      </c>
      <c r="E8" s="2" t="inlineStr">
        <is>
          <t>Același vânzător; talon înainte de contract</t>
        </is>
      </c>
      <c r="F8" s="2" t="inlineStr">
        <is>
          <t>S01 art.5; S03</t>
        </is>
      </c>
      <c r="G8" s="2" t="inlineStr"/>
      <c r="H8" s="2" t="inlineStr"/>
      <c r="I8" s="2" t="inlineStr">
        <is>
          <t>De pregătit</t>
        </is>
      </c>
      <c r="J8" s="2" t="inlineStr"/>
    </row>
    <row r="9">
      <c r="A9" s="2" t="inlineStr">
        <is>
          <t>E08</t>
        </is>
      </c>
      <c r="B9" s="2" t="inlineStr">
        <is>
          <t>Analiza oportunitate și DNSH</t>
        </is>
      </c>
      <c r="C9" s="2" t="inlineStr">
        <is>
          <t>Consultant</t>
        </is>
      </c>
      <c r="D9" s="2" t="inlineStr">
        <is>
          <t>12. Analiza oportunitate si DNSH</t>
        </is>
      </c>
      <c r="E9" s="2" t="inlineStr">
        <is>
          <t>Necesitate dimensionare și mediu</t>
        </is>
      </c>
      <c r="F9" s="2" t="inlineStr">
        <is>
          <t>S01 art.11</t>
        </is>
      </c>
      <c r="G9" s="2" t="inlineStr"/>
      <c r="H9" s="2" t="inlineStr"/>
      <c r="I9" s="2" t="inlineStr">
        <is>
          <t>De pregătit</t>
        </is>
      </c>
      <c r="J9" s="2" t="inlineStr"/>
    </row>
    <row r="10">
      <c r="A10" s="2" t="inlineStr">
        <is>
          <t>E09</t>
        </is>
      </c>
      <c r="B10" s="2" t="inlineStr">
        <is>
          <t>Oferte, echivalență și origine UE</t>
        </is>
      </c>
      <c r="C10" s="2" t="inlineStr">
        <is>
          <t>Achiziții</t>
        </is>
      </c>
      <c r="D10" s="2" t="inlineStr">
        <is>
          <t>13. Oferte si documente tehnice</t>
        </is>
      </c>
      <c r="E10" s="2" t="inlineStr">
        <is>
          <t>Prețuri și dovadă asamblare finală</t>
        </is>
      </c>
      <c r="F10" s="2" t="inlineStr">
        <is>
          <t>S01 art.11,16,18</t>
        </is>
      </c>
      <c r="G10" s="2" t="inlineStr"/>
      <c r="H10" s="2" t="inlineStr"/>
      <c r="I10" s="2" t="inlineStr">
        <is>
          <t>De pregătit</t>
        </is>
      </c>
      <c r="J10" s="2" t="inlineStr"/>
    </row>
    <row r="11">
      <c r="A11" s="2" t="inlineStr">
        <is>
          <t>E10</t>
        </is>
      </c>
      <c r="B11" s="2" t="inlineStr">
        <is>
          <t>Buget TVA și flux numerar</t>
        </is>
      </c>
      <c r="C11" s="2" t="inlineStr">
        <is>
          <t>Financiar</t>
        </is>
      </c>
      <c r="D11" s="2" t="inlineStr">
        <is>
          <t>14. Buget TVA si surse proprii</t>
        </is>
      </c>
      <c r="E11" s="2" t="inlineStr">
        <is>
          <t>Buget finanțabil și surse proprii</t>
        </is>
      </c>
      <c r="F11" s="2" t="inlineStr">
        <is>
          <t>S01 art.16–18</t>
        </is>
      </c>
      <c r="G11" s="2" t="inlineStr"/>
      <c r="H11" s="2" t="inlineStr"/>
      <c r="I11" s="2" t="inlineStr">
        <is>
          <t>De pregătit</t>
        </is>
      </c>
      <c r="J11" s="2" t="inlineStr"/>
    </row>
    <row r="12">
      <c r="A12" s="2" t="inlineStr">
        <is>
          <t>E11</t>
        </is>
      </c>
      <c r="B12" s="2" t="inlineStr">
        <is>
          <t>Cerere și anexe oficiale</t>
        </is>
      </c>
      <c r="C12" s="2" t="inlineStr">
        <is>
          <t>Consultant</t>
        </is>
      </c>
      <c r="D12" s="2" t="inlineStr">
        <is>
          <t>15. Cerere si anexe in lucru</t>
        </is>
      </c>
      <c r="E12" s="2" t="inlineStr">
        <is>
          <t>Verificare documente după ghid</t>
        </is>
      </c>
      <c r="F12" s="2" t="inlineStr">
        <is>
          <t>Ghid în așteptare</t>
        </is>
      </c>
      <c r="G12" s="2" t="inlineStr"/>
      <c r="H12" s="2" t="inlineStr"/>
      <c r="I12" s="2" t="inlineStr">
        <is>
          <t>De pregătit</t>
        </is>
      </c>
      <c r="J12" s="2" t="inlineStr"/>
    </row>
    <row r="13">
      <c r="A13" s="2" t="inlineStr">
        <is>
          <t>E12</t>
        </is>
      </c>
      <c r="B13" s="2" t="inlineStr">
        <is>
          <t>Semnare și depunere</t>
        </is>
      </c>
      <c r="C13" s="2" t="inlineStr">
        <is>
          <t>Reprezentant legal</t>
        </is>
      </c>
      <c r="D13" s="2" t="inlineStr">
        <is>
          <t>19. Dosar depunere</t>
        </is>
      </c>
      <c r="E13" s="2" t="inlineStr">
        <is>
          <t>Fișiere depuse și recipisă</t>
        </is>
      </c>
      <c r="F13" s="2" t="inlineStr">
        <is>
          <t>Ghid în așteptare</t>
        </is>
      </c>
      <c r="G13" s="2" t="inlineStr"/>
      <c r="H13" s="2" t="inlineStr"/>
      <c r="I13" s="2" t="inlineStr">
        <is>
          <t>De pregătit</t>
        </is>
      </c>
      <c r="J13" s="2" t="inlineStr"/>
    </row>
    <row r="14">
      <c r="A14" s="2" t="inlineStr">
        <is>
          <t>E13</t>
        </is>
      </c>
      <c r="B14" s="2" t="inlineStr">
        <is>
          <t>Clarificări și punctaj</t>
        </is>
      </c>
      <c r="C14" s="2" t="inlineStr">
        <is>
          <t>Consultant</t>
        </is>
      </c>
      <c r="D14" s="2" t="inlineStr">
        <is>
          <t>20. Evaluare clarificari si contestatii</t>
        </is>
      </c>
      <c r="E14" s="2" t="inlineStr">
        <is>
          <t>Răspunsuri în termen și decizie</t>
        </is>
      </c>
      <c r="F14" s="2" t="inlineStr">
        <is>
          <t>Termen din solicitare</t>
        </is>
      </c>
      <c r="G14" s="2" t="inlineStr"/>
      <c r="H14" s="2" t="inlineStr"/>
      <c r="I14" s="2" t="inlineStr">
        <is>
          <t>De pregătit</t>
        </is>
      </c>
      <c r="J14" s="2" t="inlineStr"/>
    </row>
    <row r="15">
      <c r="A15" s="2" t="inlineStr">
        <is>
          <t>E14</t>
        </is>
      </c>
      <c r="B15" s="2" t="inlineStr">
        <is>
          <t>Contract și minimis actualizat</t>
        </is>
      </c>
      <c r="C15" s="2" t="inlineStr">
        <is>
          <t>Administrator + financiar</t>
        </is>
      </c>
      <c r="D15" s="2" t="inlineStr">
        <is>
          <t>30. Contractare</t>
        </is>
      </c>
      <c r="E15" s="2" t="inlineStr">
        <is>
          <t>Contract semnat</t>
        </is>
      </c>
      <c r="F15" s="2" t="inlineStr">
        <is>
          <t>S01 art.16,20</t>
        </is>
      </c>
      <c r="G15" s="2" t="inlineStr"/>
      <c r="H15" s="2" t="inlineStr"/>
      <c r="I15" s="2" t="inlineStr">
        <is>
          <t>De pregătit</t>
        </is>
      </c>
      <c r="J15" s="2" t="inlineStr"/>
    </row>
    <row r="16">
      <c r="A16" s="2" t="inlineStr">
        <is>
          <t>E15</t>
        </is>
      </c>
      <c r="B16" s="2" t="inlineStr">
        <is>
          <t>Procedură achiziție și contract furnizor</t>
        </is>
      </c>
      <c r="C16" s="2" t="inlineStr">
        <is>
          <t>Achiziții</t>
        </is>
      </c>
      <c r="D16" s="2" t="inlineStr">
        <is>
          <t>40. Implementare</t>
        </is>
      </c>
      <c r="E16" s="2" t="inlineStr">
        <is>
          <t>Documentație conformă regulilor apelului</t>
        </is>
      </c>
      <c r="F16" s="2" t="inlineStr">
        <is>
          <t>Ghid / contract</t>
        </is>
      </c>
      <c r="G16" s="2" t="inlineStr"/>
      <c r="H16" s="2" t="inlineStr"/>
      <c r="I16" s="2" t="inlineStr">
        <is>
          <t>De pregătit</t>
        </is>
      </c>
      <c r="J16" s="2" t="inlineStr"/>
    </row>
    <row r="17">
      <c r="A17" s="2" t="inlineStr">
        <is>
          <t>E16</t>
        </is>
      </c>
      <c r="B17" s="2" t="inlineStr">
        <is>
          <t>Recepție și înmatriculare</t>
        </is>
      </c>
      <c r="C17" s="2" t="inlineStr">
        <is>
          <t>Responsabil flotă</t>
        </is>
      </c>
      <c r="D17" s="2" t="inlineStr">
        <is>
          <t>40. Implementare</t>
        </is>
      </c>
      <c r="E17" s="2" t="inlineStr">
        <is>
          <t>PV recepție talon VIN</t>
        </is>
      </c>
      <c r="F17" s="2" t="inlineStr">
        <is>
          <t>Contract / ghid</t>
        </is>
      </c>
      <c r="G17" s="2" t="inlineStr"/>
      <c r="H17" s="2" t="inlineStr"/>
      <c r="I17" s="2" t="inlineStr">
        <is>
          <t>De pregătit</t>
        </is>
      </c>
      <c r="J17" s="2" t="inlineStr"/>
    </row>
    <row r="18">
      <c r="A18" s="2" t="inlineStr">
        <is>
          <t>E17</t>
        </is>
      </c>
      <c r="B18" s="2" t="inlineStr">
        <is>
          <t>Casare și dovada casării</t>
        </is>
      </c>
      <c r="C18" s="2" t="inlineStr">
        <is>
          <t>Responsabil flotă</t>
        </is>
      </c>
      <c r="D18" s="2" t="inlineStr">
        <is>
          <t>40. Implementare</t>
        </is>
      </c>
      <c r="E18" s="2" t="inlineStr">
        <is>
          <t>Dovadă în 60 zile de la recepție</t>
        </is>
      </c>
      <c r="F18" s="2" t="inlineStr">
        <is>
          <t>S01 art.5 alin.8</t>
        </is>
      </c>
      <c r="G18" s="2" t="inlineStr"/>
      <c r="H18" s="2" t="inlineStr"/>
      <c r="I18" s="2" t="inlineStr">
        <is>
          <t>De pregătit</t>
        </is>
      </c>
      <c r="J18" s="2" t="inlineStr"/>
    </row>
    <row r="19">
      <c r="A19" s="2" t="inlineStr">
        <is>
          <t>E18</t>
        </is>
      </c>
      <c r="B19" s="2" t="inlineStr">
        <is>
          <t>Plată și rambursare</t>
        </is>
      </c>
      <c r="C19" s="2" t="inlineStr">
        <is>
          <t>Financiar</t>
        </is>
      </c>
      <c r="D19" s="2" t="inlineStr">
        <is>
          <t>50. Plata rambursare si contabilitate</t>
        </is>
      </c>
      <c r="E19" s="2" t="inlineStr">
        <is>
          <t>Facturi plăți cereri și încasări</t>
        </is>
      </c>
      <c r="F19" s="2" t="inlineStr">
        <is>
          <t>Ghid / contract</t>
        </is>
      </c>
      <c r="G19" s="2" t="inlineStr"/>
      <c r="H19" s="2" t="inlineStr"/>
      <c r="I19" s="2" t="inlineStr">
        <is>
          <t>De pregătit</t>
        </is>
      </c>
      <c r="J19" s="2" t="inlineStr"/>
    </row>
    <row r="20">
      <c r="A20" s="2" t="inlineStr">
        <is>
          <t>E19</t>
        </is>
      </c>
      <c r="B20" s="2" t="inlineStr">
        <is>
          <t>Raport final și acceptare</t>
        </is>
      </c>
      <c r="C20" s="2" t="inlineStr">
        <is>
          <t>Consultant + administrator</t>
        </is>
      </c>
      <c r="D20" s="2" t="inlineStr">
        <is>
          <t>80. Inchidere proiect si arhivare finala</t>
        </is>
      </c>
      <c r="E20" s="2" t="inlineStr">
        <is>
          <t>Acceptare și reconciliere</t>
        </is>
      </c>
      <c r="F20" s="2" t="inlineStr">
        <is>
          <t>Contract</t>
        </is>
      </c>
      <c r="G20" s="2" t="inlineStr"/>
      <c r="H20" s="2" t="inlineStr"/>
      <c r="I20" s="2" t="inlineStr">
        <is>
          <t>De pregătit</t>
        </is>
      </c>
      <c r="J20" s="2" t="inlineStr"/>
    </row>
    <row r="21">
      <c r="A21" s="2" t="inlineStr">
        <is>
          <t>E20</t>
        </is>
      </c>
      <c r="B21" s="2" t="inlineStr">
        <is>
          <t>Durabilitate și raportare</t>
        </is>
      </c>
      <c r="C21" s="2" t="inlineStr">
        <is>
          <t>Administrator</t>
        </is>
      </c>
      <c r="D21" s="2" t="inlineStr">
        <is>
          <t>60. Monitorizare si durabilitate</t>
        </is>
      </c>
      <c r="E21" s="2" t="inlineStr">
        <is>
          <t>5 ani de utilizare conformă</t>
        </is>
      </c>
      <c r="F21" s="2" t="inlineStr">
        <is>
          <t>S01 art.10</t>
        </is>
      </c>
      <c r="G21" s="2" t="inlineStr"/>
      <c r="H21" s="2" t="inlineStr"/>
      <c r="I21" s="2" t="inlineStr">
        <is>
          <t>De pregătit</t>
        </is>
      </c>
      <c r="J21" s="2" t="inlineStr"/>
    </row>
    <row r="22">
      <c r="A22" s="2" t="inlineStr">
        <is>
          <t>E21</t>
        </is>
      </c>
      <c r="B22" s="2" t="inlineStr">
        <is>
          <t>Audit și remedieri</t>
        </is>
      </c>
      <c r="C22" s="2" t="inlineStr">
        <is>
          <t>Administrator + financiar</t>
        </is>
      </c>
      <c r="D22" s="2" t="inlineStr">
        <is>
          <t>70. Audit control si nereguli</t>
        </is>
      </c>
      <c r="E22" s="2" t="inlineStr">
        <is>
          <t>Constatări închise</t>
        </is>
      </c>
      <c r="F22" s="2" t="inlineStr">
        <is>
          <t>S01 art.23</t>
        </is>
      </c>
      <c r="G22" s="2" t="inlineStr"/>
      <c r="H22" s="2" t="inlineStr"/>
      <c r="I22" s="2" t="inlineStr">
        <is>
          <t>De pregătit</t>
        </is>
      </c>
      <c r="J22" s="2" t="inlineStr"/>
    </row>
    <row r="23">
      <c r="A23" s="2" t="inlineStr">
        <is>
          <t>E22</t>
        </is>
      </c>
      <c r="B23" s="2" t="inlineStr">
        <is>
          <t>Închidere durabilitate și arhivă</t>
        </is>
      </c>
      <c r="C23" s="2" t="inlineStr">
        <is>
          <t>Administrator</t>
        </is>
      </c>
      <c r="D23" s="2" t="inlineStr">
        <is>
          <t>80. Inchidere proiect si arhivare finala</t>
        </is>
      </c>
      <c r="E23" s="2" t="inlineStr">
        <is>
          <t>Inventar și păstrarea documentelor</t>
        </is>
      </c>
      <c r="F23" s="2" t="inlineStr">
        <is>
          <t>S01 art.23 / contract</t>
        </is>
      </c>
      <c r="G23" s="2" t="inlineStr"/>
      <c r="H23" s="2" t="inlineStr"/>
      <c r="I23" s="2" t="inlineStr">
        <is>
          <t>De pregătit</t>
        </is>
      </c>
      <c r="J23" s="2" t="inlineStr"/>
    </row>
  </sheetData>
  <autoFilter ref="A1:J23"/>
  <dataValidations count="1">
    <dataValidation sqref="I2:I300" showDropDown="0" showInputMessage="0" showErrorMessage="0" allowBlank="0" type="list">
      <formula1>"De pregătit,În lucru,În verificare,Finalizat,Blocat,Nu se aplică"</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1.7" customWidth="1" min="4" max="4"/>
    <col width="16" customWidth="1" min="5" max="5"/>
    <col width="16" customWidth="1" min="6" max="6"/>
    <col width="16" customWidth="1" min="7" max="7"/>
    <col width="16" customWidth="1" min="8" max="8"/>
    <col width="16" customWidth="1" min="9" max="9"/>
    <col width="27.3" customWidth="1" min="10" max="10"/>
    <col width="16" customWidth="1" min="11" max="11"/>
    <col width="16" customWidth="1" min="12" max="12"/>
    <col width="16" customWidth="1" min="13" max="13"/>
  </cols>
  <sheetData>
    <row r="1">
      <c r="A1" s="1" t="inlineStr">
        <is>
          <t>ID</t>
        </is>
      </c>
      <c r="B1" s="1" t="inlineStr">
        <is>
          <t>CUI</t>
        </is>
      </c>
      <c r="C1" s="1" t="inlineStr">
        <is>
          <t>AUTO ID</t>
        </is>
      </c>
      <c r="D1" s="1" t="inlineStr">
        <is>
          <t>Document</t>
        </is>
      </c>
      <c r="E1" s="1" t="inlineStr">
        <is>
          <t>Emitent / sursă</t>
        </is>
      </c>
      <c r="F1" s="1" t="inlineStr">
        <is>
          <t>Data document</t>
        </is>
      </c>
      <c r="G1" s="1" t="inlineStr">
        <is>
          <t>Expiră la</t>
        </is>
      </c>
      <c r="H1" s="1" t="inlineStr">
        <is>
          <t>Versiune</t>
        </is>
      </c>
      <c r="I1" s="1" t="inlineStr">
        <is>
          <t>Stare</t>
        </is>
      </c>
      <c r="J1" s="1" t="inlineStr">
        <is>
          <t>Folder / cale</t>
        </is>
      </c>
      <c r="K1" s="1" t="inlineStr">
        <is>
          <t>Responsabil</t>
        </is>
      </c>
      <c r="L1" s="1" t="inlineStr">
        <is>
          <t>Verificat de</t>
        </is>
      </c>
      <c r="M1" s="1" t="inlineStr">
        <is>
          <t>Data verificare</t>
        </is>
      </c>
    </row>
    <row r="2">
      <c r="A2" s="2" t="inlineStr">
        <is>
          <t>D001</t>
        </is>
      </c>
      <c r="B2" s="2" t="inlineStr"/>
      <c r="C2" s="2" t="inlineStr"/>
      <c r="D2" s="2" t="inlineStr">
        <is>
          <t>ONRC și CUI</t>
        </is>
      </c>
      <c r="E2" s="2" t="inlineStr"/>
      <c r="F2" s="2" t="inlineStr"/>
      <c r="G2" s="2" t="inlineStr"/>
      <c r="H2" s="2" t="inlineStr">
        <is>
          <t>v01</t>
        </is>
      </c>
      <c r="I2" s="2" t="inlineStr">
        <is>
          <t>Lipsă</t>
        </is>
      </c>
      <c r="J2" s="2" t="inlineStr">
        <is>
          <t>10. Eligibilitate solicitant si minimis</t>
        </is>
      </c>
      <c r="K2" s="2" t="inlineStr"/>
      <c r="L2" s="2" t="inlineStr"/>
      <c r="M2" s="2" t="inlineStr"/>
    </row>
    <row r="3">
      <c r="A3" s="2" t="inlineStr">
        <is>
          <t>D002</t>
        </is>
      </c>
      <c r="B3" s="2" t="inlineStr"/>
      <c r="C3" s="2" t="inlineStr"/>
      <c r="D3" s="2" t="inlineStr">
        <is>
          <t>Declarație IMM și legături grup</t>
        </is>
      </c>
      <c r="E3" s="2" t="inlineStr"/>
      <c r="F3" s="2" t="inlineStr"/>
      <c r="G3" s="2" t="inlineStr"/>
      <c r="H3" s="2" t="inlineStr">
        <is>
          <t>v01</t>
        </is>
      </c>
      <c r="I3" s="2" t="inlineStr">
        <is>
          <t>Lipsă</t>
        </is>
      </c>
      <c r="J3" s="2" t="inlineStr">
        <is>
          <t>10. Eligibilitate solicitant si minimis</t>
        </is>
      </c>
      <c r="K3" s="2" t="inlineStr"/>
      <c r="L3" s="2" t="inlineStr"/>
      <c r="M3" s="2" t="inlineStr"/>
    </row>
    <row r="4">
      <c r="A4" s="2" t="inlineStr">
        <is>
          <t>D003</t>
        </is>
      </c>
      <c r="B4" s="2" t="inlineStr"/>
      <c r="C4" s="2" t="inlineStr"/>
      <c r="D4" s="2" t="inlineStr">
        <is>
          <t>Acte acordare minimis</t>
        </is>
      </c>
      <c r="E4" s="2" t="inlineStr"/>
      <c r="F4" s="2" t="inlineStr"/>
      <c r="G4" s="2" t="inlineStr"/>
      <c r="H4" s="2" t="inlineStr">
        <is>
          <t>v01</t>
        </is>
      </c>
      <c r="I4" s="2" t="inlineStr">
        <is>
          <t>Lipsă</t>
        </is>
      </c>
      <c r="J4" s="2" t="inlineStr">
        <is>
          <t>10. Eligibilitate solicitant si minimis</t>
        </is>
      </c>
      <c r="K4" s="2" t="inlineStr"/>
      <c r="L4" s="2" t="inlineStr"/>
      <c r="M4" s="2" t="inlineStr"/>
    </row>
    <row r="5">
      <c r="A5" s="2" t="inlineStr">
        <is>
          <t>D004</t>
        </is>
      </c>
      <c r="B5" s="2" t="inlineStr"/>
      <c r="C5" s="2" t="inlineStr"/>
      <c r="D5" s="2" t="inlineStr">
        <is>
          <t>Fiscal și situații financiare</t>
        </is>
      </c>
      <c r="E5" s="2" t="inlineStr"/>
      <c r="F5" s="2" t="inlineStr"/>
      <c r="G5" s="2" t="inlineStr"/>
      <c r="H5" s="2" t="inlineStr">
        <is>
          <t>v01</t>
        </is>
      </c>
      <c r="I5" s="2" t="inlineStr">
        <is>
          <t>Lipsă</t>
        </is>
      </c>
      <c r="J5" s="2" t="inlineStr">
        <is>
          <t>10. Eligibilitate solicitant si minimis</t>
        </is>
      </c>
      <c r="K5" s="2" t="inlineStr"/>
      <c r="L5" s="2" t="inlineStr"/>
      <c r="M5" s="2" t="inlineStr"/>
    </row>
    <row r="6">
      <c r="A6" s="2" t="inlineStr">
        <is>
          <t>D005</t>
        </is>
      </c>
      <c r="B6" s="2" t="inlineStr"/>
      <c r="C6" s="2" t="inlineStr"/>
      <c r="D6" s="2" t="inlineStr">
        <is>
          <t>Talon CIV RCA ITP vechi</t>
        </is>
      </c>
      <c r="E6" s="2" t="inlineStr"/>
      <c r="F6" s="2" t="inlineStr"/>
      <c r="G6" s="2" t="inlineStr"/>
      <c r="H6" s="2" t="inlineStr">
        <is>
          <t>v01</t>
        </is>
      </c>
      <c r="I6" s="2" t="inlineStr">
        <is>
          <t>Lipsă</t>
        </is>
      </c>
      <c r="J6" s="2" t="inlineStr">
        <is>
          <t>11. Flota existenta si inlocuire</t>
        </is>
      </c>
      <c r="K6" s="2" t="inlineStr"/>
      <c r="L6" s="2" t="inlineStr"/>
      <c r="M6" s="2" t="inlineStr"/>
    </row>
    <row r="7">
      <c r="A7" s="2" t="inlineStr">
        <is>
          <t>D006</t>
        </is>
      </c>
      <c r="B7" s="2" t="inlineStr"/>
      <c r="C7" s="2" t="inlineStr"/>
      <c r="D7" s="2" t="inlineStr">
        <is>
          <t>Oferte BEV și origine UE</t>
        </is>
      </c>
      <c r="E7" s="2" t="inlineStr"/>
      <c r="F7" s="2" t="inlineStr"/>
      <c r="G7" s="2" t="inlineStr"/>
      <c r="H7" s="2" t="inlineStr">
        <is>
          <t>v01</t>
        </is>
      </c>
      <c r="I7" s="2" t="inlineStr">
        <is>
          <t>Lipsă</t>
        </is>
      </c>
      <c r="J7" s="2" t="inlineStr">
        <is>
          <t>13. Oferte si documente tehnice</t>
        </is>
      </c>
      <c r="K7" s="2" t="inlineStr"/>
      <c r="L7" s="2" t="inlineStr"/>
      <c r="M7" s="2" t="inlineStr"/>
    </row>
    <row r="8">
      <c r="A8" s="2" t="inlineStr">
        <is>
          <t>D007</t>
        </is>
      </c>
      <c r="B8" s="2" t="inlineStr"/>
      <c r="C8" s="2" t="inlineStr"/>
      <c r="D8" s="2" t="inlineStr">
        <is>
          <t>Analiza oportunitate și DNSH</t>
        </is>
      </c>
      <c r="E8" s="2" t="inlineStr"/>
      <c r="F8" s="2" t="inlineStr"/>
      <c r="G8" s="2" t="inlineStr"/>
      <c r="H8" s="2" t="inlineStr">
        <is>
          <t>v01</t>
        </is>
      </c>
      <c r="I8" s="2" t="inlineStr">
        <is>
          <t>Lipsă</t>
        </is>
      </c>
      <c r="J8" s="2" t="inlineStr">
        <is>
          <t>12. Analiza oportunitate si DNSH</t>
        </is>
      </c>
      <c r="K8" s="2" t="inlineStr"/>
      <c r="L8" s="2" t="inlineStr"/>
      <c r="M8" s="2" t="inlineStr"/>
    </row>
    <row r="9">
      <c r="A9" s="2" t="inlineStr">
        <is>
          <t>D008</t>
        </is>
      </c>
      <c r="B9" s="2" t="inlineStr"/>
      <c r="C9" s="2" t="inlineStr"/>
      <c r="D9" s="2" t="inlineStr">
        <is>
          <t>Buget net TVA și surse proprii</t>
        </is>
      </c>
      <c r="E9" s="2" t="inlineStr"/>
      <c r="F9" s="2" t="inlineStr"/>
      <c r="G9" s="2" t="inlineStr"/>
      <c r="H9" s="2" t="inlineStr">
        <is>
          <t>v01</t>
        </is>
      </c>
      <c r="I9" s="2" t="inlineStr">
        <is>
          <t>Lipsă</t>
        </is>
      </c>
      <c r="J9" s="2" t="inlineStr">
        <is>
          <t>14. Buget TVA si surse proprii</t>
        </is>
      </c>
      <c r="K9" s="2" t="inlineStr"/>
      <c r="L9" s="2" t="inlineStr"/>
      <c r="M9" s="2" t="inlineStr"/>
    </row>
    <row r="10">
      <c r="A10" s="2" t="inlineStr">
        <is>
          <t>D009</t>
        </is>
      </c>
      <c r="B10" s="2" t="inlineStr"/>
      <c r="C10" s="2" t="inlineStr"/>
      <c r="D10" s="2" t="inlineStr">
        <is>
          <t>Cerere și anexe oficiale</t>
        </is>
      </c>
      <c r="E10" s="2" t="inlineStr"/>
      <c r="F10" s="2" t="inlineStr"/>
      <c r="G10" s="2" t="inlineStr"/>
      <c r="H10" s="2" t="inlineStr">
        <is>
          <t>v01</t>
        </is>
      </c>
      <c r="I10" s="2" t="inlineStr">
        <is>
          <t>Lipsă</t>
        </is>
      </c>
      <c r="J10" s="2" t="inlineStr">
        <is>
          <t>15. Cerere si anexe in lucru</t>
        </is>
      </c>
      <c r="K10" s="2" t="inlineStr"/>
      <c r="L10" s="2" t="inlineStr"/>
      <c r="M10" s="2" t="inlineStr"/>
    </row>
    <row r="11">
      <c r="A11" s="2" t="inlineStr">
        <is>
          <t>D010</t>
        </is>
      </c>
      <c r="B11" s="2" t="inlineStr"/>
      <c r="C11" s="2" t="inlineStr"/>
      <c r="D11" s="2" t="inlineStr">
        <is>
          <t>Recipisă depunere</t>
        </is>
      </c>
      <c r="E11" s="2" t="inlineStr"/>
      <c r="F11" s="2" t="inlineStr"/>
      <c r="G11" s="2" t="inlineStr"/>
      <c r="H11" s="2" t="inlineStr">
        <is>
          <t>v01</t>
        </is>
      </c>
      <c r="I11" s="2" t="inlineStr">
        <is>
          <t>Lipsă</t>
        </is>
      </c>
      <c r="J11" s="2" t="inlineStr">
        <is>
          <t>19. Dosar depunere</t>
        </is>
      </c>
      <c r="K11" s="2" t="inlineStr"/>
      <c r="L11" s="2" t="inlineStr"/>
      <c r="M11" s="2" t="inlineStr"/>
    </row>
    <row r="12">
      <c r="A12" s="2" t="inlineStr">
        <is>
          <t>D011</t>
        </is>
      </c>
      <c r="B12" s="2" t="inlineStr"/>
      <c r="C12" s="2" t="inlineStr"/>
      <c r="D12" s="2" t="inlineStr">
        <is>
          <t>Contract finanțare</t>
        </is>
      </c>
      <c r="E12" s="2" t="inlineStr"/>
      <c r="F12" s="2" t="inlineStr"/>
      <c r="G12" s="2" t="inlineStr"/>
      <c r="H12" s="2" t="inlineStr">
        <is>
          <t>v01</t>
        </is>
      </c>
      <c r="I12" s="2" t="inlineStr">
        <is>
          <t>Lipsă</t>
        </is>
      </c>
      <c r="J12" s="2" t="inlineStr">
        <is>
          <t>30. Contractare</t>
        </is>
      </c>
      <c r="K12" s="2" t="inlineStr"/>
      <c r="L12" s="2" t="inlineStr"/>
      <c r="M12" s="2" t="inlineStr"/>
    </row>
    <row r="13">
      <c r="A13" s="2" t="inlineStr">
        <is>
          <t>D012</t>
        </is>
      </c>
      <c r="B13" s="2" t="inlineStr"/>
      <c r="C13" s="2" t="inlineStr"/>
      <c r="D13" s="2" t="inlineStr">
        <is>
          <t>Recepție și dovadă casare</t>
        </is>
      </c>
      <c r="E13" s="2" t="inlineStr"/>
      <c r="F13" s="2" t="inlineStr"/>
      <c r="G13" s="2" t="inlineStr"/>
      <c r="H13" s="2" t="inlineStr">
        <is>
          <t>v01</t>
        </is>
      </c>
      <c r="I13" s="2" t="inlineStr">
        <is>
          <t>Lipsă</t>
        </is>
      </c>
      <c r="J13" s="2" t="inlineStr">
        <is>
          <t>40. Implementare</t>
        </is>
      </c>
      <c r="K13" s="2" t="inlineStr"/>
      <c r="L13" s="2" t="inlineStr"/>
      <c r="M13" s="2" t="inlineStr"/>
    </row>
    <row r="14">
      <c r="A14" s="2" t="inlineStr">
        <is>
          <t>D013</t>
        </is>
      </c>
      <c r="B14" s="2" t="inlineStr"/>
      <c r="C14" s="2" t="inlineStr"/>
      <c r="D14" s="2" t="inlineStr">
        <is>
          <t>Cerere decont și încasare</t>
        </is>
      </c>
      <c r="E14" s="2" t="inlineStr"/>
      <c r="F14" s="2" t="inlineStr"/>
      <c r="G14" s="2" t="inlineStr"/>
      <c r="H14" s="2" t="inlineStr">
        <is>
          <t>v01</t>
        </is>
      </c>
      <c r="I14" s="2" t="inlineStr">
        <is>
          <t>Lipsă</t>
        </is>
      </c>
      <c r="J14" s="2" t="inlineStr">
        <is>
          <t>50. Plata rambursare si contabilitate</t>
        </is>
      </c>
      <c r="K14" s="2" t="inlineStr"/>
      <c r="L14" s="2" t="inlineStr"/>
      <c r="M14" s="2" t="inlineStr"/>
    </row>
    <row r="15">
      <c r="A15" s="2" t="inlineStr">
        <is>
          <t>D014</t>
        </is>
      </c>
      <c r="B15" s="2" t="inlineStr"/>
      <c r="C15" s="2" t="inlineStr"/>
      <c r="D15" s="2" t="inlineStr">
        <is>
          <t>Rapoarte durabilitate</t>
        </is>
      </c>
      <c r="E15" s="2" t="inlineStr"/>
      <c r="F15" s="2" t="inlineStr"/>
      <c r="G15" s="2" t="inlineStr"/>
      <c r="H15" s="2" t="inlineStr">
        <is>
          <t>v01</t>
        </is>
      </c>
      <c r="I15" s="2" t="inlineStr">
        <is>
          <t>Lipsă</t>
        </is>
      </c>
      <c r="J15" s="2" t="inlineStr">
        <is>
          <t>60. Monitorizare si durabilitate</t>
        </is>
      </c>
      <c r="K15" s="2" t="inlineStr"/>
      <c r="L15" s="2" t="inlineStr"/>
      <c r="M15" s="2" t="inlineStr"/>
    </row>
  </sheetData>
  <autoFilter ref="A1:M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8.2" customWidth="1" min="12" max="12"/>
    <col width="16" customWidth="1" min="13" max="13"/>
    <col width="16" customWidth="1" min="14" max="14"/>
    <col width="16" customWidth="1" min="15" max="15"/>
    <col width="16" customWidth="1" min="16" max="16"/>
    <col width="16" customWidth="1" min="17" max="17"/>
  </cols>
  <sheetData>
    <row r="1">
      <c r="A1" s="1" t="inlineStr">
        <is>
          <t>AUTO ID</t>
        </is>
      </c>
      <c r="B1" s="1" t="inlineStr">
        <is>
          <t>CUI proprietar</t>
        </is>
      </c>
      <c r="C1" s="1" t="inlineStr">
        <is>
          <t>VIN vechi</t>
        </is>
      </c>
      <c r="D1" s="1" t="inlineStr">
        <is>
          <t>Categorie vechi</t>
        </is>
      </c>
      <c r="E1" s="1" t="inlineStr">
        <is>
          <t>Data proprietate</t>
        </is>
      </c>
      <c r="F1" s="1" t="inlineStr">
        <is>
          <t>RCA valabil până</t>
        </is>
      </c>
      <c r="G1" s="1" t="inlineStr">
        <is>
          <t>ITP valabil până</t>
        </is>
      </c>
      <c r="H1" s="1" t="inlineStr">
        <is>
          <t>Promisiune notar</t>
        </is>
      </c>
      <c r="I1" s="1" t="inlineStr">
        <is>
          <t>Model nou</t>
        </is>
      </c>
      <c r="J1" s="1" t="inlineStr">
        <is>
          <t>Categorie nou</t>
        </is>
      </c>
      <c r="K1" s="1" t="inlineStr">
        <is>
          <t>VIN nou</t>
        </is>
      </c>
      <c r="L1" s="1" t="inlineStr">
        <is>
          <t>Asamblare finală UE dovadă</t>
        </is>
      </c>
      <c r="M1" s="1" t="inlineStr">
        <is>
          <t>Data recepție</t>
        </is>
      </c>
      <c r="N1" s="1" t="inlineStr">
        <is>
          <t>Termen dovadă casare</t>
        </is>
      </c>
      <c r="O1" s="1" t="inlineStr">
        <is>
          <t>Data dovadă casare</t>
        </is>
      </c>
      <c r="P1" s="1" t="inlineStr">
        <is>
          <t>Dovadă / cale</t>
        </is>
      </c>
      <c r="Q1" s="1" t="inlineStr">
        <is>
          <t>Stare</t>
        </is>
      </c>
    </row>
    <row r="2">
      <c r="A2" s="2" t="inlineStr">
        <is>
          <t>AUTO01</t>
        </is>
      </c>
      <c r="B2" s="2" t="inlineStr"/>
      <c r="C2" s="2" t="inlineStr"/>
      <c r="D2" s="2" t="inlineStr"/>
      <c r="E2" s="2" t="inlineStr"/>
      <c r="F2" s="2" t="inlineStr"/>
      <c r="G2" s="2" t="inlineStr"/>
      <c r="H2" s="2" t="inlineStr"/>
      <c r="I2" s="2" t="inlineStr"/>
      <c r="J2" s="2" t="inlineStr"/>
      <c r="K2" s="2" t="inlineStr"/>
      <c r="L2" s="2" t="inlineStr"/>
      <c r="M2" s="2" t="inlineStr"/>
      <c r="N2" s="4">
        <f>IF(M2="","",M2+60)</f>
        <v/>
      </c>
      <c r="O2" s="2" t="inlineStr"/>
      <c r="P2" s="2" t="inlineStr"/>
      <c r="Q2" s="2" t="inlineStr"/>
    </row>
    <row r="3">
      <c r="A3" s="2" t="inlineStr">
        <is>
          <t>AUTO02</t>
        </is>
      </c>
      <c r="B3" s="2" t="inlineStr"/>
      <c r="C3" s="2" t="inlineStr"/>
      <c r="D3" s="2" t="inlineStr"/>
      <c r="E3" s="2" t="inlineStr"/>
      <c r="F3" s="2" t="inlineStr"/>
      <c r="G3" s="2" t="inlineStr"/>
      <c r="H3" s="2" t="inlineStr"/>
      <c r="I3" s="2" t="inlineStr"/>
      <c r="J3" s="2" t="inlineStr"/>
      <c r="K3" s="2" t="inlineStr"/>
      <c r="L3" s="2" t="inlineStr"/>
      <c r="M3" s="2" t="inlineStr"/>
      <c r="N3" s="4">
        <f>IF(M3="","",M3+60)</f>
        <v/>
      </c>
      <c r="O3" s="2" t="inlineStr"/>
      <c r="P3" s="2" t="inlineStr"/>
      <c r="Q3" s="2" t="inlineStr"/>
    </row>
    <row r="4">
      <c r="A4" s="2" t="inlineStr">
        <is>
          <t>AUTO03</t>
        </is>
      </c>
      <c r="B4" s="2" t="inlineStr"/>
      <c r="C4" s="2" t="inlineStr"/>
      <c r="D4" s="2" t="inlineStr"/>
      <c r="E4" s="2" t="inlineStr"/>
      <c r="F4" s="2" t="inlineStr"/>
      <c r="G4" s="2" t="inlineStr"/>
      <c r="H4" s="2" t="inlineStr"/>
      <c r="I4" s="2" t="inlineStr"/>
      <c r="J4" s="2" t="inlineStr"/>
      <c r="K4" s="2" t="inlineStr"/>
      <c r="L4" s="2" t="inlineStr"/>
      <c r="M4" s="2" t="inlineStr"/>
      <c r="N4" s="4">
        <f>IF(M4="","",M4+60)</f>
        <v/>
      </c>
      <c r="O4" s="2" t="inlineStr"/>
      <c r="P4" s="2" t="inlineStr"/>
      <c r="Q4" s="2" t="inlineStr"/>
    </row>
    <row r="5">
      <c r="A5" s="2" t="inlineStr">
        <is>
          <t>AUTO04</t>
        </is>
      </c>
      <c r="B5" s="2" t="inlineStr"/>
      <c r="C5" s="2" t="inlineStr"/>
      <c r="D5" s="2" t="inlineStr"/>
      <c r="E5" s="2" t="inlineStr"/>
      <c r="F5" s="2" t="inlineStr"/>
      <c r="G5" s="2" t="inlineStr"/>
      <c r="H5" s="2" t="inlineStr"/>
      <c r="I5" s="2" t="inlineStr"/>
      <c r="J5" s="2" t="inlineStr"/>
      <c r="K5" s="2" t="inlineStr"/>
      <c r="L5" s="2" t="inlineStr"/>
      <c r="M5" s="2" t="inlineStr"/>
      <c r="N5" s="4">
        <f>IF(M5="","",M5+60)</f>
        <v/>
      </c>
      <c r="O5" s="2" t="inlineStr"/>
      <c r="P5" s="2" t="inlineStr"/>
      <c r="Q5" s="2" t="inlineStr"/>
    </row>
    <row r="6">
      <c r="A6" s="2" t="inlineStr">
        <is>
          <t>AUTO05</t>
        </is>
      </c>
      <c r="B6" s="2" t="inlineStr"/>
      <c r="C6" s="2" t="inlineStr"/>
      <c r="D6" s="2" t="inlineStr"/>
      <c r="E6" s="2" t="inlineStr"/>
      <c r="F6" s="2" t="inlineStr"/>
      <c r="G6" s="2" t="inlineStr"/>
      <c r="H6" s="2" t="inlineStr"/>
      <c r="I6" s="2" t="inlineStr"/>
      <c r="J6" s="2" t="inlineStr"/>
      <c r="K6" s="2" t="inlineStr"/>
      <c r="L6" s="2" t="inlineStr"/>
      <c r="M6" s="2" t="inlineStr"/>
      <c r="N6" s="4">
        <f>IF(M6="","",M6+60)</f>
        <v/>
      </c>
      <c r="O6" s="2" t="inlineStr"/>
      <c r="P6" s="2" t="inlineStr"/>
      <c r="Q6" s="2" t="inlineStr"/>
    </row>
    <row r="7">
      <c r="A7" s="2" t="inlineStr">
        <is>
          <t>AUTO06</t>
        </is>
      </c>
      <c r="B7" s="2" t="inlineStr"/>
      <c r="C7" s="2" t="inlineStr"/>
      <c r="D7" s="2" t="inlineStr"/>
      <c r="E7" s="2" t="inlineStr"/>
      <c r="F7" s="2" t="inlineStr"/>
      <c r="G7" s="2" t="inlineStr"/>
      <c r="H7" s="2" t="inlineStr"/>
      <c r="I7" s="2" t="inlineStr"/>
      <c r="J7" s="2" t="inlineStr"/>
      <c r="K7" s="2" t="inlineStr"/>
      <c r="L7" s="2" t="inlineStr"/>
      <c r="M7" s="2" t="inlineStr"/>
      <c r="N7" s="4">
        <f>IF(M7="","",M7+60)</f>
        <v/>
      </c>
      <c r="O7" s="2" t="inlineStr"/>
      <c r="P7" s="2" t="inlineStr"/>
      <c r="Q7" s="2" t="inlineStr"/>
    </row>
    <row r="8">
      <c r="A8" s="2" t="inlineStr">
        <is>
          <t>AUTO07</t>
        </is>
      </c>
      <c r="B8" s="2" t="inlineStr"/>
      <c r="C8" s="2" t="inlineStr"/>
      <c r="D8" s="2" t="inlineStr"/>
      <c r="E8" s="2" t="inlineStr"/>
      <c r="F8" s="2" t="inlineStr"/>
      <c r="G8" s="2" t="inlineStr"/>
      <c r="H8" s="2" t="inlineStr"/>
      <c r="I8" s="2" t="inlineStr"/>
      <c r="J8" s="2" t="inlineStr"/>
      <c r="K8" s="2" t="inlineStr"/>
      <c r="L8" s="2" t="inlineStr"/>
      <c r="M8" s="2" t="inlineStr"/>
      <c r="N8" s="4">
        <f>IF(M8="","",M8+60)</f>
        <v/>
      </c>
      <c r="O8" s="2" t="inlineStr"/>
      <c r="P8" s="2" t="inlineStr"/>
      <c r="Q8" s="2" t="inlineStr"/>
    </row>
    <row r="9">
      <c r="A9" s="2" t="inlineStr">
        <is>
          <t>AUTO08</t>
        </is>
      </c>
      <c r="B9" s="2" t="inlineStr"/>
      <c r="C9" s="2" t="inlineStr"/>
      <c r="D9" s="2" t="inlineStr"/>
      <c r="E9" s="2" t="inlineStr"/>
      <c r="F9" s="2" t="inlineStr"/>
      <c r="G9" s="2" t="inlineStr"/>
      <c r="H9" s="2" t="inlineStr"/>
      <c r="I9" s="2" t="inlineStr"/>
      <c r="J9" s="2" t="inlineStr"/>
      <c r="K9" s="2" t="inlineStr"/>
      <c r="L9" s="2" t="inlineStr"/>
      <c r="M9" s="2" t="inlineStr"/>
      <c r="N9" s="4">
        <f>IF(M9="","",M9+60)</f>
        <v/>
      </c>
      <c r="O9" s="2" t="inlineStr"/>
      <c r="P9" s="2" t="inlineStr"/>
      <c r="Q9" s="2" t="inlineStr"/>
    </row>
    <row r="10">
      <c r="A10" s="2" t="inlineStr">
        <is>
          <t>AUTO09</t>
        </is>
      </c>
      <c r="B10" s="2" t="inlineStr"/>
      <c r="C10" s="2" t="inlineStr"/>
      <c r="D10" s="2" t="inlineStr"/>
      <c r="E10" s="2" t="inlineStr"/>
      <c r="F10" s="2" t="inlineStr"/>
      <c r="G10" s="2" t="inlineStr"/>
      <c r="H10" s="2" t="inlineStr"/>
      <c r="I10" s="2" t="inlineStr"/>
      <c r="J10" s="2" t="inlineStr"/>
      <c r="K10" s="2" t="inlineStr"/>
      <c r="L10" s="2" t="inlineStr"/>
      <c r="M10" s="2" t="inlineStr"/>
      <c r="N10" s="4">
        <f>IF(M10="","",M10+60)</f>
        <v/>
      </c>
      <c r="O10" s="2" t="inlineStr"/>
      <c r="P10" s="2" t="inlineStr"/>
      <c r="Q10" s="2" t="inlineStr"/>
    </row>
    <row r="11">
      <c r="A11" s="2" t="inlineStr">
        <is>
          <t>AUTO10</t>
        </is>
      </c>
      <c r="B11" s="2" t="inlineStr"/>
      <c r="C11" s="2" t="inlineStr"/>
      <c r="D11" s="2" t="inlineStr"/>
      <c r="E11" s="2" t="inlineStr"/>
      <c r="F11" s="2" t="inlineStr"/>
      <c r="G11" s="2" t="inlineStr"/>
      <c r="H11" s="2" t="inlineStr"/>
      <c r="I11" s="2" t="inlineStr"/>
      <c r="J11" s="2" t="inlineStr"/>
      <c r="K11" s="2" t="inlineStr"/>
      <c r="L11" s="2" t="inlineStr"/>
      <c r="M11" s="2" t="inlineStr"/>
      <c r="N11" s="4">
        <f>IF(M11="","",M11+60)</f>
        <v/>
      </c>
      <c r="O11" s="2" t="inlineStr"/>
      <c r="P11" s="2" t="inlineStr"/>
      <c r="Q11" s="2" t="inlineStr"/>
    </row>
  </sheetData>
  <autoFilter ref="A1:Q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21.7" customWidth="1" min="7" max="7"/>
    <col width="16" customWidth="1" min="8" max="8"/>
  </cols>
  <sheetData>
    <row r="1">
      <c r="A1" s="1" t="inlineStr">
        <is>
          <t>CUI membru grup</t>
        </is>
      </c>
      <c r="B1" s="1" t="inlineStr">
        <is>
          <t>Program</t>
        </is>
      </c>
      <c r="C1" s="1" t="inlineStr">
        <is>
          <t>Act de acordare</t>
        </is>
      </c>
      <c r="D1" s="1" t="inlineStr">
        <is>
          <t>Data acordării</t>
        </is>
      </c>
      <c r="E1" s="1" t="inlineStr">
        <is>
          <t>EUR echivalent</t>
        </is>
      </c>
      <c r="F1" s="1" t="inlineStr">
        <is>
          <t>Regim minimis</t>
        </is>
      </c>
      <c r="G1" s="1" t="inlineStr">
        <is>
          <t>Inclus în calcul general? DA/NU</t>
        </is>
      </c>
      <c r="H1" s="1" t="inlineStr">
        <is>
          <t>Observații</t>
        </is>
      </c>
    </row>
    <row r="2">
      <c r="A2" s="2" t="inlineStr"/>
      <c r="B2" s="2" t="inlineStr"/>
      <c r="C2" s="2" t="inlineStr"/>
      <c r="D2" s="4" t="inlineStr"/>
      <c r="E2" s="5" t="inlineStr"/>
      <c r="F2" s="2" t="inlineStr"/>
      <c r="G2" s="2" t="inlineStr"/>
      <c r="H2" s="2" t="inlineStr"/>
    </row>
    <row r="3">
      <c r="A3" s="2" t="inlineStr"/>
      <c r="B3" s="2" t="inlineStr"/>
      <c r="C3" s="2" t="inlineStr"/>
      <c r="D3" s="4" t="inlineStr"/>
      <c r="E3" s="5" t="inlineStr"/>
      <c r="F3" s="2" t="inlineStr"/>
      <c r="G3" s="2" t="inlineStr"/>
      <c r="H3" s="2" t="inlineStr"/>
    </row>
    <row r="4">
      <c r="A4" s="2" t="inlineStr"/>
      <c r="B4" s="2" t="inlineStr"/>
      <c r="C4" s="2" t="inlineStr"/>
      <c r="D4" s="4" t="inlineStr"/>
      <c r="E4" s="5" t="inlineStr"/>
      <c r="F4" s="2" t="inlineStr"/>
      <c r="G4" s="2" t="inlineStr"/>
      <c r="H4" s="2" t="inlineStr"/>
    </row>
    <row r="5">
      <c r="A5" s="2" t="inlineStr"/>
      <c r="B5" s="2" t="inlineStr"/>
      <c r="C5" s="2" t="inlineStr"/>
      <c r="D5" s="4" t="inlineStr"/>
      <c r="E5" s="5" t="inlineStr"/>
      <c r="F5" s="2" t="inlineStr"/>
      <c r="G5" s="2" t="inlineStr"/>
      <c r="H5" s="2" t="inlineStr"/>
    </row>
    <row r="6">
      <c r="A6" s="2" t="inlineStr"/>
      <c r="B6" s="2" t="inlineStr"/>
      <c r="C6" s="2" t="inlineStr"/>
      <c r="D6" s="4" t="inlineStr"/>
      <c r="E6" s="5" t="inlineStr"/>
      <c r="F6" s="2" t="inlineStr"/>
      <c r="G6" s="2" t="inlineStr"/>
      <c r="H6" s="2" t="inlineStr"/>
    </row>
    <row r="7">
      <c r="A7" s="2" t="inlineStr"/>
      <c r="B7" s="2" t="inlineStr"/>
      <c r="C7" s="2" t="inlineStr"/>
      <c r="D7" s="4" t="inlineStr"/>
      <c r="E7" s="5" t="inlineStr"/>
      <c r="F7" s="2" t="inlineStr"/>
      <c r="G7" s="2" t="inlineStr"/>
      <c r="H7" s="2" t="inlineStr"/>
    </row>
    <row r="8">
      <c r="A8" s="2" t="inlineStr"/>
      <c r="B8" s="2" t="inlineStr"/>
      <c r="C8" s="2" t="inlineStr"/>
      <c r="D8" s="4" t="inlineStr"/>
      <c r="E8" s="5" t="inlineStr"/>
      <c r="F8" s="2" t="inlineStr"/>
      <c r="G8" s="2" t="inlineStr"/>
      <c r="H8" s="2" t="inlineStr"/>
    </row>
    <row r="9">
      <c r="A9" s="2" t="inlineStr"/>
      <c r="B9" s="2" t="inlineStr"/>
      <c r="C9" s="2" t="inlineStr"/>
      <c r="D9" s="4" t="inlineStr"/>
      <c r="E9" s="5" t="inlineStr"/>
      <c r="F9" s="2" t="inlineStr"/>
      <c r="G9" s="2" t="inlineStr"/>
      <c r="H9" s="2" t="inlineStr"/>
    </row>
    <row r="10">
      <c r="A10" s="2" t="inlineStr"/>
      <c r="B10" s="2" t="inlineStr"/>
      <c r="C10" s="2" t="inlineStr"/>
      <c r="D10" s="4" t="inlineStr"/>
      <c r="E10" s="5" t="inlineStr"/>
      <c r="F10" s="2" t="inlineStr"/>
      <c r="G10" s="2" t="inlineStr"/>
      <c r="H10" s="2" t="inlineStr"/>
    </row>
    <row r="11">
      <c r="A11" s="2" t="inlineStr"/>
      <c r="B11" s="2" t="inlineStr"/>
      <c r="C11" s="2" t="inlineStr"/>
      <c r="D11" s="4" t="inlineStr"/>
      <c r="E11" s="5" t="inlineStr"/>
      <c r="F11" s="2" t="inlineStr"/>
      <c r="G11" s="2" t="inlineStr"/>
      <c r="H11" s="2" t="inlineStr"/>
    </row>
    <row r="12">
      <c r="A12" s="2" t="inlineStr"/>
      <c r="B12" s="2" t="inlineStr"/>
      <c r="C12" s="2" t="inlineStr"/>
      <c r="D12" s="4" t="inlineStr"/>
      <c r="E12" s="5" t="inlineStr"/>
      <c r="F12" s="2" t="inlineStr"/>
      <c r="G12" s="2" t="inlineStr"/>
      <c r="H12" s="2" t="inlineStr"/>
    </row>
    <row r="13">
      <c r="A13" s="2" t="inlineStr"/>
      <c r="B13" s="2" t="inlineStr"/>
      <c r="C13" s="2" t="inlineStr"/>
      <c r="D13" s="4" t="inlineStr"/>
      <c r="E13" s="5" t="inlineStr"/>
      <c r="F13" s="2" t="inlineStr"/>
      <c r="G13" s="2" t="inlineStr"/>
      <c r="H13" s="2" t="inlineStr"/>
    </row>
    <row r="14">
      <c r="A14" s="2" t="inlineStr"/>
      <c r="B14" s="2" t="inlineStr"/>
      <c r="C14" s="2" t="inlineStr"/>
      <c r="D14" s="4" t="inlineStr"/>
      <c r="E14" s="5" t="inlineStr"/>
      <c r="F14" s="2" t="inlineStr"/>
      <c r="G14" s="2" t="inlineStr"/>
      <c r="H14" s="2" t="inlineStr"/>
    </row>
    <row r="15">
      <c r="A15" s="2" t="inlineStr"/>
      <c r="B15" s="2" t="inlineStr"/>
      <c r="C15" s="2" t="inlineStr"/>
      <c r="D15" s="4" t="inlineStr"/>
      <c r="E15" s="5" t="inlineStr"/>
      <c r="F15" s="2" t="inlineStr"/>
      <c r="G15" s="2" t="inlineStr"/>
      <c r="H15" s="2" t="inlineStr"/>
    </row>
    <row r="16">
      <c r="A16" s="2" t="inlineStr"/>
      <c r="B16" s="2" t="inlineStr"/>
      <c r="C16" s="2" t="inlineStr"/>
      <c r="D16" s="4" t="inlineStr"/>
      <c r="E16" s="5" t="inlineStr"/>
      <c r="F16" s="2" t="inlineStr"/>
      <c r="G16" s="2" t="inlineStr"/>
      <c r="H16" s="2" t="inlineStr"/>
    </row>
    <row r="17">
      <c r="A17" s="2" t="inlineStr"/>
      <c r="B17" s="2" t="inlineStr"/>
      <c r="C17" s="2" t="inlineStr"/>
      <c r="D17" s="4" t="inlineStr"/>
      <c r="E17" s="5" t="inlineStr"/>
      <c r="F17" s="2" t="inlineStr"/>
      <c r="G17" s="2" t="inlineStr"/>
      <c r="H17" s="2" t="inlineStr"/>
    </row>
    <row r="18">
      <c r="A18" s="2" t="inlineStr"/>
      <c r="B18" s="2" t="inlineStr"/>
      <c r="C18" s="2" t="inlineStr"/>
      <c r="D18" s="4" t="inlineStr"/>
      <c r="E18" s="5" t="inlineStr"/>
      <c r="F18" s="2" t="inlineStr"/>
      <c r="G18" s="2" t="inlineStr"/>
      <c r="H18" s="2" t="inlineStr"/>
    </row>
    <row r="19">
      <c r="A19" s="2" t="inlineStr"/>
      <c r="B19" s="2" t="inlineStr"/>
      <c r="C19" s="2" t="inlineStr"/>
      <c r="D19" s="4" t="inlineStr"/>
      <c r="E19" s="5" t="inlineStr"/>
      <c r="F19" s="2" t="inlineStr"/>
      <c r="G19" s="2" t="inlineStr"/>
      <c r="H19" s="2" t="inlineStr"/>
    </row>
    <row r="20">
      <c r="A20" s="2" t="inlineStr"/>
      <c r="B20" s="2" t="inlineStr"/>
      <c r="C20" s="2" t="inlineStr"/>
      <c r="D20" s="4" t="inlineStr"/>
      <c r="E20" s="5" t="inlineStr"/>
      <c r="F20" s="2" t="inlineStr"/>
      <c r="G20" s="2" t="inlineStr"/>
      <c r="H20" s="2" t="inlineStr"/>
    </row>
    <row r="21">
      <c r="A21" s="2" t="inlineStr"/>
      <c r="B21" s="2" t="inlineStr"/>
      <c r="C21" s="2" t="inlineStr"/>
      <c r="D21" s="4" t="inlineStr"/>
      <c r="E21" s="5" t="inlineStr"/>
      <c r="F21" s="2" t="inlineStr"/>
      <c r="G21" s="2" t="inlineStr"/>
      <c r="H21" s="2" t="inlineStr"/>
    </row>
    <row r="22">
      <c r="A22" s="2" t="inlineStr"/>
      <c r="B22" s="2" t="inlineStr"/>
      <c r="C22" s="2" t="inlineStr"/>
      <c r="D22" s="4" t="inlineStr"/>
      <c r="E22" s="5" t="inlineStr"/>
      <c r="F22" s="2" t="inlineStr"/>
      <c r="G22" s="2" t="inlineStr"/>
      <c r="H22" s="2" t="inlineStr"/>
    </row>
    <row r="23">
      <c r="A23" s="2" t="inlineStr"/>
      <c r="B23" s="2" t="inlineStr"/>
      <c r="C23" s="2" t="inlineStr"/>
      <c r="D23" s="4" t="inlineStr"/>
      <c r="E23" s="5" t="inlineStr"/>
      <c r="F23" s="2" t="inlineStr"/>
      <c r="G23" s="2" t="inlineStr"/>
      <c r="H23" s="2" t="inlineStr"/>
    </row>
    <row r="24">
      <c r="A24" s="2" t="inlineStr"/>
      <c r="B24" s="2" t="inlineStr"/>
      <c r="C24" s="2" t="inlineStr"/>
      <c r="D24" s="4" t="inlineStr"/>
      <c r="E24" s="5" t="inlineStr"/>
      <c r="F24" s="2" t="inlineStr"/>
      <c r="G24" s="2" t="inlineStr"/>
      <c r="H24" s="2" t="inlineStr"/>
    </row>
    <row r="25">
      <c r="A25" s="2" t="inlineStr"/>
      <c r="B25" s="2" t="inlineStr"/>
      <c r="C25" s="2" t="inlineStr"/>
      <c r="D25" s="4" t="inlineStr"/>
      <c r="E25" s="5" t="inlineStr"/>
      <c r="F25" s="2" t="inlineStr"/>
      <c r="G25" s="2" t="inlineStr"/>
      <c r="H25" s="2" t="inlineStr"/>
    </row>
    <row r="26">
      <c r="A26" s="2" t="inlineStr"/>
      <c r="B26" s="2" t="inlineStr"/>
      <c r="C26" s="2" t="inlineStr"/>
      <c r="D26" s="4" t="inlineStr"/>
      <c r="E26" s="5" t="inlineStr"/>
      <c r="F26" s="2" t="inlineStr"/>
      <c r="G26" s="2" t="inlineStr"/>
      <c r="H26" s="2" t="inlineStr"/>
    </row>
    <row r="27">
      <c r="A27" s="2" t="inlineStr"/>
      <c r="B27" s="2" t="inlineStr"/>
      <c r="C27" s="2" t="inlineStr"/>
      <c r="D27" s="4" t="inlineStr"/>
      <c r="E27" s="5" t="inlineStr"/>
      <c r="F27" s="2" t="inlineStr"/>
      <c r="G27" s="2" t="inlineStr"/>
      <c r="H27" s="2" t="inlineStr"/>
    </row>
    <row r="28">
      <c r="A28" s="2" t="inlineStr"/>
      <c r="B28" s="2" t="inlineStr"/>
      <c r="C28" s="2" t="inlineStr"/>
      <c r="D28" s="4" t="inlineStr"/>
      <c r="E28" s="5" t="inlineStr"/>
      <c r="F28" s="2" t="inlineStr"/>
      <c r="G28" s="2" t="inlineStr"/>
      <c r="H28" s="2" t="inlineStr"/>
    </row>
    <row r="29">
      <c r="A29" s="2" t="inlineStr"/>
      <c r="B29" s="2" t="inlineStr"/>
      <c r="C29" s="2" t="inlineStr"/>
      <c r="D29" s="4" t="inlineStr"/>
      <c r="E29" s="5" t="inlineStr"/>
      <c r="F29" s="2" t="inlineStr"/>
      <c r="G29" s="2" t="inlineStr"/>
      <c r="H29" s="2" t="inlineStr"/>
    </row>
    <row r="30">
      <c r="A30" s="2" t="inlineStr"/>
      <c r="B30" s="2" t="inlineStr"/>
      <c r="C30" s="2" t="inlineStr"/>
      <c r="D30" s="4" t="inlineStr"/>
      <c r="E30" s="5" t="inlineStr"/>
      <c r="F30" s="2" t="inlineStr"/>
      <c r="G30" s="2" t="inlineStr"/>
      <c r="H30" s="2" t="inlineStr"/>
    </row>
    <row r="31">
      <c r="A31" s="2" t="inlineStr"/>
      <c r="B31" s="2" t="inlineStr"/>
      <c r="C31" s="2" t="inlineStr"/>
      <c r="D31" s="4" t="inlineStr"/>
      <c r="E31" s="5" t="inlineStr"/>
      <c r="F31" s="2" t="inlineStr"/>
      <c r="G31" s="2" t="inlineStr"/>
      <c r="H31" s="2" t="inlineStr"/>
    </row>
    <row r="32">
      <c r="A32" s="2" t="inlineStr"/>
      <c r="B32" s="2" t="inlineStr"/>
      <c r="C32" s="2" t="inlineStr"/>
      <c r="D32" s="4" t="inlineStr"/>
      <c r="E32" s="5" t="inlineStr"/>
      <c r="F32" s="2" t="inlineStr"/>
      <c r="G32" s="2" t="inlineStr"/>
      <c r="H32" s="2" t="inlineStr"/>
    </row>
    <row r="33">
      <c r="A33" s="2" t="inlineStr"/>
      <c r="B33" s="2" t="inlineStr"/>
      <c r="C33" s="2" t="inlineStr"/>
      <c r="D33" s="4" t="inlineStr"/>
      <c r="E33" s="5" t="inlineStr"/>
      <c r="F33" s="2" t="inlineStr"/>
      <c r="G33" s="2" t="inlineStr"/>
      <c r="H33" s="2" t="inlineStr"/>
    </row>
    <row r="34">
      <c r="A34" s="2" t="inlineStr"/>
      <c r="B34" s="2" t="inlineStr"/>
      <c r="C34" s="2" t="inlineStr"/>
      <c r="D34" s="4" t="inlineStr"/>
      <c r="E34" s="5" t="inlineStr"/>
      <c r="F34" s="2" t="inlineStr"/>
      <c r="G34" s="2" t="inlineStr"/>
      <c r="H34" s="2" t="inlineStr"/>
    </row>
    <row r="35">
      <c r="A35" s="2" t="inlineStr"/>
      <c r="B35" s="2" t="inlineStr"/>
      <c r="C35" s="2" t="inlineStr"/>
      <c r="D35" s="4" t="inlineStr"/>
      <c r="E35" s="5" t="inlineStr"/>
      <c r="F35" s="2" t="inlineStr"/>
      <c r="G35" s="2" t="inlineStr"/>
      <c r="H35" s="2" t="inlineStr"/>
    </row>
    <row r="36">
      <c r="A36" s="2" t="inlineStr"/>
      <c r="B36" s="2" t="inlineStr"/>
      <c r="C36" s="2" t="inlineStr"/>
      <c r="D36" s="4" t="inlineStr"/>
      <c r="E36" s="5" t="inlineStr"/>
      <c r="F36" s="2" t="inlineStr"/>
      <c r="G36" s="2" t="inlineStr"/>
      <c r="H36" s="2" t="inlineStr"/>
    </row>
    <row r="37">
      <c r="A37" s="2" t="inlineStr"/>
      <c r="B37" s="2" t="inlineStr"/>
      <c r="C37" s="2" t="inlineStr"/>
      <c r="D37" s="4" t="inlineStr"/>
      <c r="E37" s="5" t="inlineStr"/>
      <c r="F37" s="2" t="inlineStr"/>
      <c r="G37" s="2" t="inlineStr"/>
      <c r="H37" s="2" t="inlineStr"/>
    </row>
    <row r="38">
      <c r="A38" s="2" t="inlineStr"/>
      <c r="B38" s="2" t="inlineStr"/>
      <c r="C38" s="2" t="inlineStr"/>
      <c r="D38" s="4" t="inlineStr"/>
      <c r="E38" s="5" t="inlineStr"/>
      <c r="F38" s="2" t="inlineStr"/>
      <c r="G38" s="2" t="inlineStr"/>
      <c r="H38" s="2" t="inlineStr"/>
    </row>
    <row r="39">
      <c r="A39" s="2" t="inlineStr"/>
      <c r="B39" s="2" t="inlineStr"/>
      <c r="C39" s="2" t="inlineStr"/>
      <c r="D39" s="4" t="inlineStr"/>
      <c r="E39" s="5" t="inlineStr"/>
      <c r="F39" s="2" t="inlineStr"/>
      <c r="G39" s="2" t="inlineStr"/>
      <c r="H39" s="2" t="inlineStr"/>
    </row>
    <row r="40">
      <c r="A40" s="2" t="inlineStr"/>
      <c r="B40" s="2" t="inlineStr"/>
      <c r="C40" s="2" t="inlineStr"/>
      <c r="D40" s="4" t="inlineStr"/>
      <c r="E40" s="5" t="inlineStr"/>
      <c r="F40" s="2" t="inlineStr"/>
      <c r="G40" s="2" t="inlineStr"/>
      <c r="H40" s="2" t="inlineStr"/>
    </row>
    <row r="41">
      <c r="A41" s="2" t="inlineStr"/>
      <c r="B41" s="2" t="inlineStr"/>
      <c r="C41" s="2" t="inlineStr"/>
      <c r="D41" s="4" t="inlineStr"/>
      <c r="E41" s="5" t="inlineStr"/>
      <c r="F41" s="2" t="inlineStr"/>
      <c r="G41" s="2" t="inlineStr"/>
      <c r="H41" s="2" t="inlineStr"/>
    </row>
    <row r="42">
      <c r="A42" s="2" t="inlineStr"/>
      <c r="B42" s="2" t="inlineStr"/>
      <c r="C42" s="2" t="inlineStr"/>
      <c r="D42" s="4" t="inlineStr"/>
      <c r="E42" s="5" t="inlineStr"/>
      <c r="F42" s="2" t="inlineStr"/>
      <c r="G42" s="2" t="inlineStr"/>
      <c r="H42" s="2" t="inlineStr"/>
    </row>
    <row r="43">
      <c r="A43" s="2" t="inlineStr"/>
      <c r="B43" s="2" t="inlineStr"/>
      <c r="C43" s="2" t="inlineStr"/>
      <c r="D43" s="4" t="inlineStr"/>
      <c r="E43" s="5" t="inlineStr"/>
      <c r="F43" s="2" t="inlineStr"/>
      <c r="G43" s="2" t="inlineStr"/>
      <c r="H43" s="2" t="inlineStr"/>
    </row>
    <row r="44">
      <c r="A44" s="2" t="inlineStr"/>
      <c r="B44" s="2" t="inlineStr"/>
      <c r="C44" s="2" t="inlineStr"/>
      <c r="D44" s="4" t="inlineStr"/>
      <c r="E44" s="5" t="inlineStr"/>
      <c r="F44" s="2" t="inlineStr"/>
      <c r="G44" s="2" t="inlineStr"/>
      <c r="H44" s="2" t="inlineStr"/>
    </row>
    <row r="45">
      <c r="A45" s="2" t="inlineStr"/>
      <c r="B45" s="2" t="inlineStr"/>
      <c r="C45" s="2" t="inlineStr"/>
      <c r="D45" s="4" t="inlineStr"/>
      <c r="E45" s="5" t="inlineStr"/>
      <c r="F45" s="2" t="inlineStr"/>
      <c r="G45" s="2" t="inlineStr"/>
      <c r="H45" s="2" t="inlineStr"/>
    </row>
    <row r="46">
      <c r="A46" s="2" t="inlineStr"/>
      <c r="B46" s="2" t="inlineStr"/>
      <c r="C46" s="2" t="inlineStr"/>
      <c r="D46" s="4" t="inlineStr"/>
      <c r="E46" s="5" t="inlineStr"/>
      <c r="F46" s="2" t="inlineStr"/>
      <c r="G46" s="2" t="inlineStr"/>
      <c r="H46" s="2" t="inlineStr"/>
    </row>
    <row r="47">
      <c r="A47" s="2" t="inlineStr"/>
      <c r="B47" s="2" t="inlineStr"/>
      <c r="C47" s="2" t="inlineStr"/>
      <c r="D47" s="4" t="inlineStr"/>
      <c r="E47" s="5" t="inlineStr"/>
      <c r="F47" s="2" t="inlineStr"/>
      <c r="G47" s="2" t="inlineStr"/>
      <c r="H47" s="2" t="inlineStr"/>
    </row>
    <row r="48">
      <c r="A48" s="2" t="inlineStr"/>
      <c r="B48" s="2" t="inlineStr"/>
      <c r="C48" s="2" t="inlineStr"/>
      <c r="D48" s="4" t="inlineStr"/>
      <c r="E48" s="5" t="inlineStr"/>
      <c r="F48" s="2" t="inlineStr"/>
      <c r="G48" s="2" t="inlineStr"/>
      <c r="H48" s="2" t="inlineStr"/>
    </row>
    <row r="49">
      <c r="A49" s="2" t="inlineStr"/>
      <c r="B49" s="2" t="inlineStr"/>
      <c r="C49" s="2" t="inlineStr"/>
      <c r="D49" s="4" t="inlineStr"/>
      <c r="E49" s="5" t="inlineStr"/>
      <c r="F49" s="2" t="inlineStr"/>
      <c r="G49" s="2" t="inlineStr"/>
      <c r="H49" s="2" t="inlineStr"/>
    </row>
    <row r="50">
      <c r="A50" s="2" t="inlineStr"/>
      <c r="B50" s="2" t="inlineStr"/>
      <c r="C50" s="2" t="inlineStr"/>
      <c r="D50" s="4" t="inlineStr"/>
      <c r="E50" s="5" t="inlineStr"/>
      <c r="F50" s="2" t="inlineStr"/>
      <c r="G50" s="2" t="inlineStr"/>
      <c r="H50" s="2" t="inlineStr"/>
    </row>
    <row r="51">
      <c r="A51" s="2" t="inlineStr"/>
      <c r="B51" s="2" t="inlineStr"/>
      <c r="C51" s="2" t="inlineStr"/>
      <c r="D51" s="4" t="inlineStr"/>
      <c r="E51" s="5" t="inlineStr"/>
      <c r="F51" s="2" t="inlineStr"/>
      <c r="G51" s="2" t="inlineStr"/>
      <c r="H51" s="2" t="inlineStr"/>
    </row>
    <row r="52">
      <c r="A52" s="2" t="inlineStr"/>
      <c r="B52" s="2" t="inlineStr"/>
      <c r="C52" s="2" t="inlineStr"/>
      <c r="D52" s="4" t="inlineStr"/>
      <c r="E52" s="5" t="inlineStr"/>
      <c r="F52" s="2" t="inlineStr"/>
      <c r="G52" s="2" t="inlineStr"/>
      <c r="H52" s="2" t="inlineStr"/>
    </row>
    <row r="53">
      <c r="A53" s="2" t="inlineStr"/>
      <c r="B53" s="2" t="inlineStr"/>
      <c r="C53" s="2" t="inlineStr"/>
      <c r="D53" s="4" t="inlineStr"/>
      <c r="E53" s="5" t="inlineStr"/>
      <c r="F53" s="2" t="inlineStr"/>
      <c r="G53" s="2" t="inlineStr"/>
      <c r="H53" s="2" t="inlineStr"/>
    </row>
    <row r="54">
      <c r="A54" s="2" t="inlineStr"/>
      <c r="B54" s="2" t="inlineStr"/>
      <c r="C54" s="2" t="inlineStr"/>
      <c r="D54" s="4" t="inlineStr"/>
      <c r="E54" s="5" t="inlineStr"/>
      <c r="F54" s="2" t="inlineStr"/>
      <c r="G54" s="2" t="inlineStr"/>
      <c r="H54" s="2" t="inlineStr"/>
    </row>
    <row r="55">
      <c r="A55" s="2" t="inlineStr"/>
      <c r="B55" s="2" t="inlineStr"/>
      <c r="C55" s="2" t="inlineStr"/>
      <c r="D55" s="4" t="inlineStr"/>
      <c r="E55" s="5" t="inlineStr"/>
      <c r="F55" s="2" t="inlineStr"/>
      <c r="G55" s="2" t="inlineStr"/>
      <c r="H55" s="2" t="inlineStr"/>
    </row>
    <row r="56">
      <c r="A56" s="2" t="inlineStr"/>
      <c r="B56" s="2" t="inlineStr"/>
      <c r="C56" s="2" t="inlineStr"/>
      <c r="D56" s="4" t="inlineStr"/>
      <c r="E56" s="5" t="inlineStr"/>
      <c r="F56" s="2" t="inlineStr"/>
      <c r="G56" s="2" t="inlineStr"/>
      <c r="H56" s="2" t="inlineStr"/>
    </row>
    <row r="57">
      <c r="A57" s="2" t="inlineStr"/>
      <c r="B57" s="2" t="inlineStr"/>
      <c r="C57" s="2" t="inlineStr"/>
      <c r="D57" s="4" t="inlineStr"/>
      <c r="E57" s="5" t="inlineStr"/>
      <c r="F57" s="2" t="inlineStr"/>
      <c r="G57" s="2" t="inlineStr"/>
      <c r="H57" s="2" t="inlineStr"/>
    </row>
    <row r="58">
      <c r="A58" s="2" t="inlineStr"/>
      <c r="B58" s="2" t="inlineStr"/>
      <c r="C58" s="2" t="inlineStr"/>
      <c r="D58" s="4" t="inlineStr"/>
      <c r="E58" s="5" t="inlineStr"/>
      <c r="F58" s="2" t="inlineStr"/>
      <c r="G58" s="2" t="inlineStr"/>
      <c r="H58" s="2" t="inlineStr"/>
    </row>
    <row r="59">
      <c r="A59" s="2" t="inlineStr"/>
      <c r="B59" s="2" t="inlineStr"/>
      <c r="C59" s="2" t="inlineStr"/>
      <c r="D59" s="4" t="inlineStr"/>
      <c r="E59" s="5" t="inlineStr"/>
      <c r="F59" s="2" t="inlineStr"/>
      <c r="G59" s="2" t="inlineStr"/>
      <c r="H59" s="2" t="inlineStr"/>
    </row>
    <row r="60">
      <c r="A60" s="2" t="inlineStr"/>
      <c r="B60" s="2" t="inlineStr"/>
      <c r="C60" s="2" t="inlineStr"/>
      <c r="D60" s="4" t="inlineStr"/>
      <c r="E60" s="5" t="inlineStr"/>
      <c r="F60" s="2" t="inlineStr"/>
      <c r="G60" s="2" t="inlineStr"/>
      <c r="H60" s="2" t="inlineStr"/>
    </row>
    <row r="61">
      <c r="A61" s="2" t="inlineStr"/>
      <c r="B61" s="2" t="inlineStr"/>
      <c r="C61" s="2" t="inlineStr"/>
      <c r="D61" s="4" t="inlineStr"/>
      <c r="E61" s="5" t="inlineStr"/>
      <c r="F61" s="2" t="inlineStr"/>
      <c r="G61" s="2" t="inlineStr"/>
      <c r="H61" s="2" t="inlineStr"/>
    </row>
    <row r="62">
      <c r="A62" s="2" t="inlineStr"/>
      <c r="B62" s="2" t="inlineStr"/>
      <c r="C62" s="2" t="inlineStr"/>
      <c r="D62" s="4" t="inlineStr"/>
      <c r="E62" s="5" t="inlineStr"/>
      <c r="F62" s="2" t="inlineStr"/>
      <c r="G62" s="2" t="inlineStr"/>
      <c r="H62" s="2" t="inlineStr"/>
    </row>
    <row r="63">
      <c r="A63" s="2" t="inlineStr"/>
      <c r="B63" s="2" t="inlineStr"/>
      <c r="C63" s="2" t="inlineStr"/>
      <c r="D63" s="4" t="inlineStr"/>
      <c r="E63" s="5" t="inlineStr"/>
      <c r="F63" s="2" t="inlineStr"/>
      <c r="G63" s="2" t="inlineStr"/>
      <c r="H63" s="2" t="inlineStr"/>
    </row>
    <row r="64">
      <c r="A64" s="2" t="inlineStr"/>
      <c r="B64" s="2" t="inlineStr"/>
      <c r="C64" s="2" t="inlineStr"/>
      <c r="D64" s="4" t="inlineStr"/>
      <c r="E64" s="5" t="inlineStr"/>
      <c r="F64" s="2" t="inlineStr"/>
      <c r="G64" s="2" t="inlineStr"/>
      <c r="H64" s="2" t="inlineStr"/>
    </row>
    <row r="65">
      <c r="A65" s="2" t="inlineStr"/>
      <c r="B65" s="2" t="inlineStr"/>
      <c r="C65" s="2" t="inlineStr"/>
      <c r="D65" s="4" t="inlineStr"/>
      <c r="E65" s="5" t="inlineStr"/>
      <c r="F65" s="2" t="inlineStr"/>
      <c r="G65" s="2" t="inlineStr"/>
      <c r="H65" s="2" t="inlineStr"/>
    </row>
    <row r="66">
      <c r="A66" s="2" t="inlineStr"/>
      <c r="B66" s="2" t="inlineStr"/>
      <c r="C66" s="2" t="inlineStr"/>
      <c r="D66" s="4" t="inlineStr"/>
      <c r="E66" s="5" t="inlineStr"/>
      <c r="F66" s="2" t="inlineStr"/>
      <c r="G66" s="2" t="inlineStr"/>
      <c r="H66" s="2" t="inlineStr"/>
    </row>
    <row r="67">
      <c r="A67" s="2" t="inlineStr"/>
      <c r="B67" s="2" t="inlineStr"/>
      <c r="C67" s="2" t="inlineStr"/>
      <c r="D67" s="4" t="inlineStr"/>
      <c r="E67" s="5" t="inlineStr"/>
      <c r="F67" s="2" t="inlineStr"/>
      <c r="G67" s="2" t="inlineStr"/>
      <c r="H67" s="2" t="inlineStr"/>
    </row>
    <row r="68">
      <c r="A68" s="2" t="inlineStr"/>
      <c r="B68" s="2" t="inlineStr"/>
      <c r="C68" s="2" t="inlineStr"/>
      <c r="D68" s="4" t="inlineStr"/>
      <c r="E68" s="5" t="inlineStr"/>
      <c r="F68" s="2" t="inlineStr"/>
      <c r="G68" s="2" t="inlineStr"/>
      <c r="H68" s="2" t="inlineStr"/>
    </row>
    <row r="69">
      <c r="A69" s="2" t="inlineStr"/>
      <c r="B69" s="2" t="inlineStr"/>
      <c r="C69" s="2" t="inlineStr"/>
      <c r="D69" s="4" t="inlineStr"/>
      <c r="E69" s="5" t="inlineStr"/>
      <c r="F69" s="2" t="inlineStr"/>
      <c r="G69" s="2" t="inlineStr"/>
      <c r="H69" s="2" t="inlineStr"/>
    </row>
    <row r="70">
      <c r="A70" s="2" t="inlineStr"/>
      <c r="B70" s="2" t="inlineStr"/>
      <c r="C70" s="2" t="inlineStr"/>
      <c r="D70" s="4" t="inlineStr"/>
      <c r="E70" s="5" t="inlineStr"/>
      <c r="F70" s="2" t="inlineStr"/>
      <c r="G70" s="2" t="inlineStr"/>
      <c r="H70" s="2" t="inlineStr"/>
    </row>
    <row r="71">
      <c r="A71" s="2" t="inlineStr"/>
      <c r="B71" s="2" t="inlineStr"/>
      <c r="C71" s="2" t="inlineStr"/>
      <c r="D71" s="4" t="inlineStr"/>
      <c r="E71" s="5" t="inlineStr"/>
      <c r="F71" s="2" t="inlineStr"/>
      <c r="G71" s="2" t="inlineStr"/>
      <c r="H71" s="2" t="inlineStr"/>
    </row>
    <row r="72">
      <c r="A72" s="2" t="inlineStr"/>
      <c r="B72" s="2" t="inlineStr"/>
      <c r="C72" s="2" t="inlineStr"/>
      <c r="D72" s="4" t="inlineStr"/>
      <c r="E72" s="5" t="inlineStr"/>
      <c r="F72" s="2" t="inlineStr"/>
      <c r="G72" s="2" t="inlineStr"/>
      <c r="H72" s="2" t="inlineStr"/>
    </row>
    <row r="73">
      <c r="A73" s="2" t="inlineStr"/>
      <c r="B73" s="2" t="inlineStr"/>
      <c r="C73" s="2" t="inlineStr"/>
      <c r="D73" s="4" t="inlineStr"/>
      <c r="E73" s="5" t="inlineStr"/>
      <c r="F73" s="2" t="inlineStr"/>
      <c r="G73" s="2" t="inlineStr"/>
      <c r="H73" s="2" t="inlineStr"/>
    </row>
    <row r="74">
      <c r="A74" s="2" t="inlineStr"/>
      <c r="B74" s="2" t="inlineStr"/>
      <c r="C74" s="2" t="inlineStr"/>
      <c r="D74" s="4" t="inlineStr"/>
      <c r="E74" s="5" t="inlineStr"/>
      <c r="F74" s="2" t="inlineStr"/>
      <c r="G74" s="2" t="inlineStr"/>
      <c r="H74" s="2" t="inlineStr"/>
    </row>
    <row r="75">
      <c r="A75" s="2" t="inlineStr"/>
      <c r="B75" s="2" t="inlineStr"/>
      <c r="C75" s="2" t="inlineStr"/>
      <c r="D75" s="4" t="inlineStr"/>
      <c r="E75" s="5" t="inlineStr"/>
      <c r="F75" s="2" t="inlineStr"/>
      <c r="G75" s="2" t="inlineStr"/>
      <c r="H75" s="2" t="inlineStr"/>
    </row>
    <row r="76">
      <c r="A76" s="2" t="inlineStr"/>
      <c r="B76" s="2" t="inlineStr"/>
      <c r="C76" s="2" t="inlineStr"/>
      <c r="D76" s="4" t="inlineStr"/>
      <c r="E76" s="5" t="inlineStr"/>
      <c r="F76" s="2" t="inlineStr"/>
      <c r="G76" s="2" t="inlineStr"/>
      <c r="H76" s="2" t="inlineStr"/>
    </row>
    <row r="77">
      <c r="A77" s="2" t="inlineStr"/>
      <c r="B77" s="2" t="inlineStr"/>
      <c r="C77" s="2" t="inlineStr"/>
      <c r="D77" s="4" t="inlineStr"/>
      <c r="E77" s="5" t="inlineStr"/>
      <c r="F77" s="2" t="inlineStr"/>
      <c r="G77" s="2" t="inlineStr"/>
      <c r="H77" s="2" t="inlineStr"/>
    </row>
    <row r="78">
      <c r="A78" s="2" t="inlineStr"/>
      <c r="B78" s="2" t="inlineStr"/>
      <c r="C78" s="2" t="inlineStr"/>
      <c r="D78" s="4" t="inlineStr"/>
      <c r="E78" s="5" t="inlineStr"/>
      <c r="F78" s="2" t="inlineStr"/>
      <c r="G78" s="2" t="inlineStr"/>
      <c r="H78" s="2" t="inlineStr"/>
    </row>
    <row r="79">
      <c r="A79" s="2" t="inlineStr"/>
      <c r="B79" s="2" t="inlineStr"/>
      <c r="C79" s="2" t="inlineStr"/>
      <c r="D79" s="4" t="inlineStr"/>
      <c r="E79" s="5" t="inlineStr"/>
      <c r="F79" s="2" t="inlineStr"/>
      <c r="G79" s="2" t="inlineStr"/>
      <c r="H79" s="2" t="inlineStr"/>
    </row>
    <row r="80">
      <c r="A80" s="2" t="inlineStr"/>
      <c r="B80" s="2" t="inlineStr"/>
      <c r="C80" s="2" t="inlineStr"/>
      <c r="D80" s="4" t="inlineStr"/>
      <c r="E80" s="5" t="inlineStr"/>
      <c r="F80" s="2" t="inlineStr"/>
      <c r="G80" s="2" t="inlineStr"/>
      <c r="H80" s="2" t="inlineStr"/>
    </row>
    <row r="81">
      <c r="A81" s="2" t="inlineStr"/>
      <c r="B81" s="2" t="inlineStr"/>
      <c r="C81" s="2" t="inlineStr"/>
      <c r="D81" s="4" t="inlineStr"/>
      <c r="E81" s="5" t="inlineStr"/>
      <c r="F81" s="2" t="inlineStr"/>
      <c r="G81" s="2" t="inlineStr"/>
      <c r="H81" s="2" t="inlineStr"/>
    </row>
    <row r="82">
      <c r="A82" s="2" t="inlineStr"/>
      <c r="B82" s="2" t="inlineStr"/>
      <c r="C82" s="2" t="inlineStr"/>
      <c r="D82" s="4" t="inlineStr"/>
      <c r="E82" s="5" t="inlineStr"/>
      <c r="F82" s="2" t="inlineStr"/>
      <c r="G82" s="2" t="inlineStr"/>
      <c r="H82" s="2" t="inlineStr"/>
    </row>
    <row r="83">
      <c r="A83" s="2" t="inlineStr"/>
      <c r="B83" s="2" t="inlineStr"/>
      <c r="C83" s="2" t="inlineStr"/>
      <c r="D83" s="4" t="inlineStr"/>
      <c r="E83" s="5" t="inlineStr"/>
      <c r="F83" s="2" t="inlineStr"/>
      <c r="G83" s="2" t="inlineStr"/>
      <c r="H83" s="2" t="inlineStr"/>
    </row>
    <row r="84">
      <c r="A84" s="2" t="inlineStr"/>
      <c r="B84" s="2" t="inlineStr"/>
      <c r="C84" s="2" t="inlineStr"/>
      <c r="D84" s="4" t="inlineStr"/>
      <c r="E84" s="5" t="inlineStr"/>
      <c r="F84" s="2" t="inlineStr"/>
      <c r="G84" s="2" t="inlineStr"/>
      <c r="H84" s="2" t="inlineStr"/>
    </row>
    <row r="85">
      <c r="A85" s="2" t="inlineStr"/>
      <c r="B85" s="2" t="inlineStr"/>
      <c r="C85" s="2" t="inlineStr"/>
      <c r="D85" s="4" t="inlineStr"/>
      <c r="E85" s="5" t="inlineStr"/>
      <c r="F85" s="2" t="inlineStr"/>
      <c r="G85" s="2" t="inlineStr"/>
      <c r="H85" s="2" t="inlineStr"/>
    </row>
    <row r="86">
      <c r="A86" s="2" t="inlineStr"/>
      <c r="B86" s="2" t="inlineStr"/>
      <c r="C86" s="2" t="inlineStr"/>
      <c r="D86" s="4" t="inlineStr"/>
      <c r="E86" s="5" t="inlineStr"/>
      <c r="F86" s="2" t="inlineStr"/>
      <c r="G86" s="2" t="inlineStr"/>
      <c r="H86" s="2" t="inlineStr"/>
    </row>
    <row r="87">
      <c r="A87" s="2" t="inlineStr"/>
      <c r="B87" s="2" t="inlineStr"/>
      <c r="C87" s="2" t="inlineStr"/>
      <c r="D87" s="4" t="inlineStr"/>
      <c r="E87" s="5" t="inlineStr"/>
      <c r="F87" s="2" t="inlineStr"/>
      <c r="G87" s="2" t="inlineStr"/>
      <c r="H87" s="2" t="inlineStr"/>
    </row>
    <row r="88">
      <c r="A88" s="2" t="inlineStr"/>
      <c r="B88" s="2" t="inlineStr"/>
      <c r="C88" s="2" t="inlineStr"/>
      <c r="D88" s="4" t="inlineStr"/>
      <c r="E88" s="5" t="inlineStr"/>
      <c r="F88" s="2" t="inlineStr"/>
      <c r="G88" s="2" t="inlineStr"/>
      <c r="H88" s="2" t="inlineStr"/>
    </row>
    <row r="89">
      <c r="A89" s="2" t="inlineStr"/>
      <c r="B89" s="2" t="inlineStr"/>
      <c r="C89" s="2" t="inlineStr"/>
      <c r="D89" s="4" t="inlineStr"/>
      <c r="E89" s="5" t="inlineStr"/>
      <c r="F89" s="2" t="inlineStr"/>
      <c r="G89" s="2" t="inlineStr"/>
      <c r="H89" s="2" t="inlineStr"/>
    </row>
    <row r="90">
      <c r="A90" s="2" t="inlineStr"/>
      <c r="B90" s="2" t="inlineStr"/>
      <c r="C90" s="2" t="inlineStr"/>
      <c r="D90" s="4" t="inlineStr"/>
      <c r="E90" s="5" t="inlineStr"/>
      <c r="F90" s="2" t="inlineStr"/>
      <c r="G90" s="2" t="inlineStr"/>
      <c r="H90" s="2" t="inlineStr"/>
    </row>
    <row r="91">
      <c r="A91" s="2" t="inlineStr"/>
      <c r="B91" s="2" t="inlineStr"/>
      <c r="C91" s="2" t="inlineStr"/>
      <c r="D91" s="4" t="inlineStr"/>
      <c r="E91" s="5" t="inlineStr"/>
      <c r="F91" s="2" t="inlineStr"/>
      <c r="G91" s="2" t="inlineStr"/>
      <c r="H91" s="2" t="inlineStr"/>
    </row>
    <row r="92">
      <c r="A92" s="2" t="inlineStr"/>
      <c r="B92" s="2" t="inlineStr"/>
      <c r="C92" s="2" t="inlineStr"/>
      <c r="D92" s="4" t="inlineStr"/>
      <c r="E92" s="5" t="inlineStr"/>
      <c r="F92" s="2" t="inlineStr"/>
      <c r="G92" s="2" t="inlineStr"/>
      <c r="H92" s="2" t="inlineStr"/>
    </row>
    <row r="93">
      <c r="A93" s="2" t="inlineStr"/>
      <c r="B93" s="2" t="inlineStr"/>
      <c r="C93" s="2" t="inlineStr"/>
      <c r="D93" s="4" t="inlineStr"/>
      <c r="E93" s="5" t="inlineStr"/>
      <c r="F93" s="2" t="inlineStr"/>
      <c r="G93" s="2" t="inlineStr"/>
      <c r="H93" s="2" t="inlineStr"/>
    </row>
    <row r="94">
      <c r="A94" s="2" t="inlineStr"/>
      <c r="B94" s="2" t="inlineStr"/>
      <c r="C94" s="2" t="inlineStr"/>
      <c r="D94" s="4" t="inlineStr"/>
      <c r="E94" s="5" t="inlineStr"/>
      <c r="F94" s="2" t="inlineStr"/>
      <c r="G94" s="2" t="inlineStr"/>
      <c r="H94" s="2" t="inlineStr"/>
    </row>
    <row r="95">
      <c r="A95" s="2" t="inlineStr"/>
      <c r="B95" s="2" t="inlineStr"/>
      <c r="C95" s="2" t="inlineStr"/>
      <c r="D95" s="4" t="inlineStr"/>
      <c r="E95" s="5" t="inlineStr"/>
      <c r="F95" s="2" t="inlineStr"/>
      <c r="G95" s="2" t="inlineStr"/>
      <c r="H95" s="2" t="inlineStr"/>
    </row>
    <row r="96">
      <c r="A96" s="2" t="inlineStr"/>
      <c r="B96" s="2" t="inlineStr"/>
      <c r="C96" s="2" t="inlineStr"/>
      <c r="D96" s="4" t="inlineStr"/>
      <c r="E96" s="5" t="inlineStr"/>
      <c r="F96" s="2" t="inlineStr"/>
      <c r="G96" s="2" t="inlineStr"/>
      <c r="H96" s="2" t="inlineStr"/>
    </row>
    <row r="97">
      <c r="A97" s="2" t="inlineStr"/>
      <c r="B97" s="2" t="inlineStr"/>
      <c r="C97" s="2" t="inlineStr"/>
      <c r="D97" s="4" t="inlineStr"/>
      <c r="E97" s="5" t="inlineStr"/>
      <c r="F97" s="2" t="inlineStr"/>
      <c r="G97" s="2" t="inlineStr"/>
      <c r="H97" s="2" t="inlineStr"/>
    </row>
    <row r="98">
      <c r="A98" s="2" t="inlineStr"/>
      <c r="B98" s="2" t="inlineStr"/>
      <c r="C98" s="2" t="inlineStr"/>
      <c r="D98" s="4" t="inlineStr"/>
      <c r="E98" s="5" t="inlineStr"/>
      <c r="F98" s="2" t="inlineStr"/>
      <c r="G98" s="2" t="inlineStr"/>
      <c r="H98" s="2" t="inlineStr"/>
    </row>
    <row r="99">
      <c r="A99" s="2" t="inlineStr"/>
      <c r="B99" s="2" t="inlineStr"/>
      <c r="C99" s="2" t="inlineStr"/>
      <c r="D99" s="4" t="inlineStr"/>
      <c r="E99" s="5" t="inlineStr"/>
      <c r="F99" s="2" t="inlineStr"/>
      <c r="G99" s="2" t="inlineStr"/>
      <c r="H99" s="2" t="inlineStr"/>
    </row>
    <row r="100">
      <c r="A100" s="2" t="inlineStr"/>
      <c r="B100" s="2" t="inlineStr"/>
      <c r="C100" s="2" t="inlineStr"/>
      <c r="D100" s="4" t="inlineStr"/>
      <c r="E100" s="5" t="inlineStr"/>
      <c r="F100" s="2" t="inlineStr"/>
      <c r="G100" s="2" t="inlineStr"/>
      <c r="H100" s="2" t="inlineStr"/>
    </row>
    <row r="101">
      <c r="A101" s="2" t="inlineStr"/>
      <c r="B101" s="2" t="inlineStr"/>
      <c r="C101" s="2" t="inlineStr"/>
      <c r="D101" s="4" t="inlineStr"/>
      <c r="E101" s="5" t="inlineStr"/>
      <c r="F101" s="2" t="inlineStr"/>
      <c r="G101" s="2" t="inlineStr"/>
      <c r="H101" s="2" t="inlineStr"/>
    </row>
    <row r="102">
      <c r="A102" s="2" t="inlineStr"/>
      <c r="B102" s="2" t="inlineStr"/>
      <c r="C102" s="2" t="inlineStr"/>
      <c r="D102" s="4" t="inlineStr"/>
      <c r="E102" s="5" t="inlineStr"/>
      <c r="F102" s="2" t="inlineStr"/>
      <c r="G102" s="2" t="inlineStr"/>
      <c r="H102" s="2" t="inlineStr"/>
    </row>
    <row r="103">
      <c r="A103" s="2" t="inlineStr"/>
      <c r="B103" s="2" t="inlineStr"/>
      <c r="C103" s="2" t="inlineStr"/>
      <c r="D103" s="4" t="inlineStr"/>
      <c r="E103" s="5" t="inlineStr"/>
      <c r="F103" s="2" t="inlineStr"/>
      <c r="G103" s="2" t="inlineStr"/>
      <c r="H103" s="2" t="inlineStr"/>
    </row>
    <row r="104">
      <c r="A104" s="2" t="inlineStr"/>
      <c r="B104" s="2" t="inlineStr"/>
      <c r="C104" s="2" t="inlineStr"/>
      <c r="D104" s="4" t="inlineStr"/>
      <c r="E104" s="5" t="inlineStr"/>
      <c r="F104" s="2" t="inlineStr"/>
      <c r="G104" s="2" t="inlineStr"/>
      <c r="H104" s="2" t="inlineStr"/>
    </row>
    <row r="105">
      <c r="A105" s="2" t="inlineStr"/>
      <c r="B105" s="2" t="inlineStr"/>
      <c r="C105" s="2" t="inlineStr"/>
      <c r="D105" s="4" t="inlineStr"/>
      <c r="E105" s="5" t="inlineStr"/>
      <c r="F105" s="2" t="inlineStr"/>
      <c r="G105" s="2" t="inlineStr"/>
      <c r="H105" s="2" t="inlineStr"/>
    </row>
    <row r="106">
      <c r="A106" s="2" t="inlineStr"/>
      <c r="B106" s="2" t="inlineStr"/>
      <c r="C106" s="2" t="inlineStr"/>
      <c r="D106" s="4" t="inlineStr"/>
      <c r="E106" s="5" t="inlineStr"/>
      <c r="F106" s="2" t="inlineStr"/>
      <c r="G106" s="2" t="inlineStr"/>
      <c r="H106" s="2" t="inlineStr"/>
    </row>
    <row r="107">
      <c r="A107" s="2" t="inlineStr"/>
      <c r="B107" s="2" t="inlineStr"/>
      <c r="C107" s="2" t="inlineStr"/>
      <c r="D107" s="4" t="inlineStr"/>
      <c r="E107" s="5" t="inlineStr"/>
      <c r="F107" s="2" t="inlineStr"/>
      <c r="G107" s="2" t="inlineStr"/>
      <c r="H107" s="2" t="inlineStr"/>
    </row>
    <row r="108">
      <c r="A108" s="2" t="inlineStr"/>
      <c r="B108" s="2" t="inlineStr"/>
      <c r="C108" s="2" t="inlineStr"/>
      <c r="D108" s="4" t="inlineStr"/>
      <c r="E108" s="5" t="inlineStr"/>
      <c r="F108" s="2" t="inlineStr"/>
      <c r="G108" s="2" t="inlineStr"/>
      <c r="H108" s="2" t="inlineStr"/>
    </row>
    <row r="109">
      <c r="A109" s="2" t="inlineStr"/>
      <c r="B109" s="2" t="inlineStr"/>
      <c r="C109" s="2" t="inlineStr"/>
      <c r="D109" s="4" t="inlineStr"/>
      <c r="E109" s="5" t="inlineStr"/>
      <c r="F109" s="2" t="inlineStr"/>
      <c r="G109" s="2" t="inlineStr"/>
      <c r="H109" s="2" t="inlineStr"/>
    </row>
    <row r="110">
      <c r="A110" s="2" t="inlineStr"/>
      <c r="B110" s="2" t="inlineStr"/>
      <c r="C110" s="2" t="inlineStr"/>
      <c r="D110" s="4" t="inlineStr"/>
      <c r="E110" s="5" t="inlineStr"/>
      <c r="F110" s="2" t="inlineStr"/>
      <c r="G110" s="2" t="inlineStr"/>
      <c r="H110" s="2" t="inlineStr"/>
    </row>
    <row r="111">
      <c r="A111" s="2" t="inlineStr"/>
      <c r="B111" s="2" t="inlineStr"/>
      <c r="C111" s="2" t="inlineStr"/>
      <c r="D111" s="4" t="inlineStr"/>
      <c r="E111" s="5" t="inlineStr"/>
      <c r="F111" s="2" t="inlineStr"/>
      <c r="G111" s="2" t="inlineStr"/>
      <c r="H111" s="2" t="inlineStr"/>
    </row>
    <row r="112">
      <c r="A112" s="2" t="inlineStr"/>
      <c r="B112" s="2" t="inlineStr"/>
      <c r="C112" s="2" t="inlineStr"/>
      <c r="D112" s="4" t="inlineStr"/>
      <c r="E112" s="5" t="inlineStr"/>
      <c r="F112" s="2" t="inlineStr"/>
      <c r="G112" s="2" t="inlineStr"/>
      <c r="H112" s="2" t="inlineStr"/>
    </row>
    <row r="113">
      <c r="A113" s="2" t="inlineStr"/>
      <c r="B113" s="2" t="inlineStr"/>
      <c r="C113" s="2" t="inlineStr"/>
      <c r="D113" s="4" t="inlineStr"/>
      <c r="E113" s="5" t="inlineStr"/>
      <c r="F113" s="2" t="inlineStr"/>
      <c r="G113" s="2" t="inlineStr"/>
      <c r="H113" s="2" t="inlineStr"/>
    </row>
    <row r="114">
      <c r="A114" s="2" t="inlineStr"/>
      <c r="B114" s="2" t="inlineStr"/>
      <c r="C114" s="2" t="inlineStr"/>
      <c r="D114" s="4" t="inlineStr"/>
      <c r="E114" s="5" t="inlineStr"/>
      <c r="F114" s="2" t="inlineStr"/>
      <c r="G114" s="2" t="inlineStr"/>
      <c r="H114" s="2" t="inlineStr"/>
    </row>
    <row r="115">
      <c r="A115" s="2" t="inlineStr"/>
      <c r="B115" s="2" t="inlineStr"/>
      <c r="C115" s="2" t="inlineStr"/>
      <c r="D115" s="4" t="inlineStr"/>
      <c r="E115" s="5" t="inlineStr"/>
      <c r="F115" s="2" t="inlineStr"/>
      <c r="G115" s="2" t="inlineStr"/>
      <c r="H115" s="2" t="inlineStr"/>
    </row>
    <row r="116">
      <c r="A116" s="2" t="inlineStr"/>
      <c r="B116" s="2" t="inlineStr"/>
      <c r="C116" s="2" t="inlineStr"/>
      <c r="D116" s="4" t="inlineStr"/>
      <c r="E116" s="5" t="inlineStr"/>
      <c r="F116" s="2" t="inlineStr"/>
      <c r="G116" s="2" t="inlineStr"/>
      <c r="H116" s="2" t="inlineStr"/>
    </row>
    <row r="117">
      <c r="A117" s="2" t="inlineStr"/>
      <c r="B117" s="2" t="inlineStr"/>
      <c r="C117" s="2" t="inlineStr"/>
      <c r="D117" s="4" t="inlineStr"/>
      <c r="E117" s="5" t="inlineStr"/>
      <c r="F117" s="2" t="inlineStr"/>
      <c r="G117" s="2" t="inlineStr"/>
      <c r="H117" s="2" t="inlineStr"/>
    </row>
    <row r="118">
      <c r="A118" s="2" t="inlineStr"/>
      <c r="B118" s="2" t="inlineStr"/>
      <c r="C118" s="2" t="inlineStr"/>
      <c r="D118" s="4" t="inlineStr"/>
      <c r="E118" s="5" t="inlineStr"/>
      <c r="F118" s="2" t="inlineStr"/>
      <c r="G118" s="2" t="inlineStr"/>
      <c r="H118" s="2" t="inlineStr"/>
    </row>
    <row r="119">
      <c r="A119" s="2" t="inlineStr"/>
      <c r="B119" s="2" t="inlineStr"/>
      <c r="C119" s="2" t="inlineStr"/>
      <c r="D119" s="4" t="inlineStr"/>
      <c r="E119" s="5" t="inlineStr"/>
      <c r="F119" s="2" t="inlineStr"/>
      <c r="G119" s="2" t="inlineStr"/>
      <c r="H119" s="2" t="inlineStr"/>
    </row>
    <row r="120">
      <c r="A120" s="2" t="inlineStr"/>
      <c r="B120" s="2" t="inlineStr"/>
      <c r="C120" s="2" t="inlineStr"/>
      <c r="D120" s="4" t="inlineStr"/>
      <c r="E120" s="5" t="inlineStr"/>
      <c r="F120" s="2" t="inlineStr"/>
      <c r="G120" s="2" t="inlineStr"/>
      <c r="H120" s="2" t="inlineStr"/>
    </row>
    <row r="121">
      <c r="A121" s="2" t="inlineStr"/>
      <c r="B121" s="2" t="inlineStr"/>
      <c r="C121" s="2" t="inlineStr"/>
      <c r="D121" s="4" t="inlineStr"/>
      <c r="E121" s="5" t="inlineStr"/>
      <c r="F121" s="2" t="inlineStr"/>
      <c r="G121" s="2" t="inlineStr"/>
      <c r="H121" s="2" t="inlineStr"/>
    </row>
    <row r="122">
      <c r="A122" s="2" t="inlineStr"/>
      <c r="B122" s="2" t="inlineStr"/>
      <c r="C122" s="2" t="inlineStr"/>
      <c r="D122" s="4" t="inlineStr"/>
      <c r="E122" s="5" t="inlineStr"/>
      <c r="F122" s="2" t="inlineStr"/>
      <c r="G122" s="2" t="inlineStr"/>
      <c r="H122" s="2" t="inlineStr"/>
    </row>
    <row r="123">
      <c r="A123" s="2" t="inlineStr"/>
      <c r="B123" s="2" t="inlineStr"/>
      <c r="C123" s="2" t="inlineStr"/>
      <c r="D123" s="4" t="inlineStr"/>
      <c r="E123" s="5" t="inlineStr"/>
      <c r="F123" s="2" t="inlineStr"/>
      <c r="G123" s="2" t="inlineStr"/>
      <c r="H123" s="2" t="inlineStr"/>
    </row>
    <row r="124">
      <c r="A124" s="2" t="inlineStr"/>
      <c r="B124" s="2" t="inlineStr"/>
      <c r="C124" s="2" t="inlineStr"/>
      <c r="D124" s="4" t="inlineStr"/>
      <c r="E124" s="5" t="inlineStr"/>
      <c r="F124" s="2" t="inlineStr"/>
      <c r="G124" s="2" t="inlineStr"/>
      <c r="H124" s="2" t="inlineStr"/>
    </row>
    <row r="125">
      <c r="A125" s="2" t="inlineStr"/>
      <c r="B125" s="2" t="inlineStr"/>
      <c r="C125" s="2" t="inlineStr"/>
      <c r="D125" s="4" t="inlineStr"/>
      <c r="E125" s="5" t="inlineStr"/>
      <c r="F125" s="2" t="inlineStr"/>
      <c r="G125" s="2" t="inlineStr"/>
      <c r="H125" s="2" t="inlineStr"/>
    </row>
    <row r="126">
      <c r="A126" s="2" t="inlineStr"/>
      <c r="B126" s="2" t="inlineStr"/>
      <c r="C126" s="2" t="inlineStr"/>
      <c r="D126" s="4" t="inlineStr"/>
      <c r="E126" s="5" t="inlineStr"/>
      <c r="F126" s="2" t="inlineStr"/>
      <c r="G126" s="2" t="inlineStr"/>
      <c r="H126" s="2" t="inlineStr"/>
    </row>
    <row r="127">
      <c r="A127" s="2" t="inlineStr"/>
      <c r="B127" s="2" t="inlineStr"/>
      <c r="C127" s="2" t="inlineStr"/>
      <c r="D127" s="4" t="inlineStr"/>
      <c r="E127" s="5" t="inlineStr"/>
      <c r="F127" s="2" t="inlineStr"/>
      <c r="G127" s="2" t="inlineStr"/>
      <c r="H127" s="2" t="inlineStr"/>
    </row>
    <row r="128">
      <c r="A128" s="2" t="inlineStr"/>
      <c r="B128" s="2" t="inlineStr"/>
      <c r="C128" s="2" t="inlineStr"/>
      <c r="D128" s="4" t="inlineStr"/>
      <c r="E128" s="5" t="inlineStr"/>
      <c r="F128" s="2" t="inlineStr"/>
      <c r="G128" s="2" t="inlineStr"/>
      <c r="H128" s="2" t="inlineStr"/>
    </row>
    <row r="129">
      <c r="A129" s="2" t="inlineStr"/>
      <c r="B129" s="2" t="inlineStr"/>
      <c r="C129" s="2" t="inlineStr"/>
      <c r="D129" s="4" t="inlineStr"/>
      <c r="E129" s="5" t="inlineStr"/>
      <c r="F129" s="2" t="inlineStr"/>
      <c r="G129" s="2" t="inlineStr"/>
      <c r="H129" s="2" t="inlineStr"/>
    </row>
    <row r="130">
      <c r="A130" s="2" t="inlineStr"/>
      <c r="B130" s="2" t="inlineStr"/>
      <c r="C130" s="2" t="inlineStr"/>
      <c r="D130" s="4" t="inlineStr"/>
      <c r="E130" s="5" t="inlineStr"/>
      <c r="F130" s="2" t="inlineStr"/>
      <c r="G130" s="2" t="inlineStr"/>
      <c r="H130" s="2" t="inlineStr"/>
    </row>
    <row r="131">
      <c r="A131" s="2" t="inlineStr"/>
      <c r="B131" s="2" t="inlineStr"/>
      <c r="C131" s="2" t="inlineStr"/>
      <c r="D131" s="4" t="inlineStr"/>
      <c r="E131" s="5" t="inlineStr"/>
      <c r="F131" s="2" t="inlineStr"/>
      <c r="G131" s="2" t="inlineStr"/>
      <c r="H131" s="2" t="inlineStr"/>
    </row>
    <row r="132">
      <c r="A132" s="2" t="inlineStr"/>
      <c r="B132" s="2" t="inlineStr"/>
      <c r="C132" s="2" t="inlineStr"/>
      <c r="D132" s="4" t="inlineStr"/>
      <c r="E132" s="5" t="inlineStr"/>
      <c r="F132" s="2" t="inlineStr"/>
      <c r="G132" s="2" t="inlineStr"/>
      <c r="H132" s="2" t="inlineStr"/>
    </row>
    <row r="133">
      <c r="A133" s="2" t="inlineStr"/>
      <c r="B133" s="2" t="inlineStr"/>
      <c r="C133" s="2" t="inlineStr"/>
      <c r="D133" s="4" t="inlineStr"/>
      <c r="E133" s="5" t="inlineStr"/>
      <c r="F133" s="2" t="inlineStr"/>
      <c r="G133" s="2" t="inlineStr"/>
      <c r="H133" s="2" t="inlineStr"/>
    </row>
    <row r="134">
      <c r="A134" s="2" t="inlineStr"/>
      <c r="B134" s="2" t="inlineStr"/>
      <c r="C134" s="2" t="inlineStr"/>
      <c r="D134" s="4" t="inlineStr"/>
      <c r="E134" s="5" t="inlineStr"/>
      <c r="F134" s="2" t="inlineStr"/>
      <c r="G134" s="2" t="inlineStr"/>
      <c r="H134" s="2" t="inlineStr"/>
    </row>
    <row r="135">
      <c r="A135" s="2" t="inlineStr"/>
      <c r="B135" s="2" t="inlineStr"/>
      <c r="C135" s="2" t="inlineStr"/>
      <c r="D135" s="4" t="inlineStr"/>
      <c r="E135" s="5" t="inlineStr"/>
      <c r="F135" s="2" t="inlineStr"/>
      <c r="G135" s="2" t="inlineStr"/>
      <c r="H135" s="2" t="inlineStr"/>
    </row>
    <row r="136">
      <c r="A136" s="2" t="inlineStr"/>
      <c r="B136" s="2" t="inlineStr"/>
      <c r="C136" s="2" t="inlineStr"/>
      <c r="D136" s="4" t="inlineStr"/>
      <c r="E136" s="5" t="inlineStr"/>
      <c r="F136" s="2" t="inlineStr"/>
      <c r="G136" s="2" t="inlineStr"/>
      <c r="H136" s="2" t="inlineStr"/>
    </row>
    <row r="137">
      <c r="A137" s="2" t="inlineStr"/>
      <c r="B137" s="2" t="inlineStr"/>
      <c r="C137" s="2" t="inlineStr"/>
      <c r="D137" s="4" t="inlineStr"/>
      <c r="E137" s="5" t="inlineStr"/>
      <c r="F137" s="2" t="inlineStr"/>
      <c r="G137" s="2" t="inlineStr"/>
      <c r="H137" s="2" t="inlineStr"/>
    </row>
    <row r="138">
      <c r="A138" s="2" t="inlineStr"/>
      <c r="B138" s="2" t="inlineStr"/>
      <c r="C138" s="2" t="inlineStr"/>
      <c r="D138" s="4" t="inlineStr"/>
      <c r="E138" s="5" t="inlineStr"/>
      <c r="F138" s="2" t="inlineStr"/>
      <c r="G138" s="2" t="inlineStr"/>
      <c r="H138" s="2" t="inlineStr"/>
    </row>
    <row r="139">
      <c r="A139" s="2" t="inlineStr"/>
      <c r="B139" s="2" t="inlineStr"/>
      <c r="C139" s="2" t="inlineStr"/>
      <c r="D139" s="4" t="inlineStr"/>
      <c r="E139" s="5" t="inlineStr"/>
      <c r="F139" s="2" t="inlineStr"/>
      <c r="G139" s="2" t="inlineStr"/>
      <c r="H139" s="2" t="inlineStr"/>
    </row>
    <row r="140">
      <c r="A140" s="2" t="inlineStr"/>
      <c r="B140" s="2" t="inlineStr"/>
      <c r="C140" s="2" t="inlineStr"/>
      <c r="D140" s="4" t="inlineStr"/>
      <c r="E140" s="5" t="inlineStr"/>
      <c r="F140" s="2" t="inlineStr"/>
      <c r="G140" s="2" t="inlineStr"/>
      <c r="H140" s="2" t="inlineStr"/>
    </row>
    <row r="141">
      <c r="A141" s="2" t="inlineStr"/>
      <c r="B141" s="2" t="inlineStr"/>
      <c r="C141" s="2" t="inlineStr"/>
      <c r="D141" s="4" t="inlineStr"/>
      <c r="E141" s="5" t="inlineStr"/>
      <c r="F141" s="2" t="inlineStr"/>
      <c r="G141" s="2" t="inlineStr"/>
      <c r="H141" s="2" t="inlineStr"/>
    </row>
    <row r="142">
      <c r="A142" s="2" t="inlineStr"/>
      <c r="B142" s="2" t="inlineStr"/>
      <c r="C142" s="2" t="inlineStr"/>
      <c r="D142" s="4" t="inlineStr"/>
      <c r="E142" s="5" t="inlineStr"/>
      <c r="F142" s="2" t="inlineStr"/>
      <c r="G142" s="2" t="inlineStr"/>
      <c r="H142" s="2" t="inlineStr"/>
    </row>
    <row r="143">
      <c r="A143" s="2" t="inlineStr"/>
      <c r="B143" s="2" t="inlineStr"/>
      <c r="C143" s="2" t="inlineStr"/>
      <c r="D143" s="4" t="inlineStr"/>
      <c r="E143" s="5" t="inlineStr"/>
      <c r="F143" s="2" t="inlineStr"/>
      <c r="G143" s="2" t="inlineStr"/>
      <c r="H143" s="2" t="inlineStr"/>
    </row>
    <row r="144">
      <c r="A144" s="2" t="inlineStr"/>
      <c r="B144" s="2" t="inlineStr"/>
      <c r="C144" s="2" t="inlineStr"/>
      <c r="D144" s="4" t="inlineStr"/>
      <c r="E144" s="5" t="inlineStr"/>
      <c r="F144" s="2" t="inlineStr"/>
      <c r="G144" s="2" t="inlineStr"/>
      <c r="H144" s="2" t="inlineStr"/>
    </row>
    <row r="145">
      <c r="A145" s="2" t="inlineStr"/>
      <c r="B145" s="2" t="inlineStr"/>
      <c r="C145" s="2" t="inlineStr"/>
      <c r="D145" s="4" t="inlineStr"/>
      <c r="E145" s="5" t="inlineStr"/>
      <c r="F145" s="2" t="inlineStr"/>
      <c r="G145" s="2" t="inlineStr"/>
      <c r="H145" s="2" t="inlineStr"/>
    </row>
    <row r="146">
      <c r="A146" s="2" t="inlineStr"/>
      <c r="B146" s="2" t="inlineStr"/>
      <c r="C146" s="2" t="inlineStr"/>
      <c r="D146" s="4" t="inlineStr"/>
      <c r="E146" s="5" t="inlineStr"/>
      <c r="F146" s="2" t="inlineStr"/>
      <c r="G146" s="2" t="inlineStr"/>
      <c r="H146" s="2" t="inlineStr"/>
    </row>
    <row r="147">
      <c r="A147" s="2" t="inlineStr"/>
      <c r="B147" s="2" t="inlineStr"/>
      <c r="C147" s="2" t="inlineStr"/>
      <c r="D147" s="4" t="inlineStr"/>
      <c r="E147" s="5" t="inlineStr"/>
      <c r="F147" s="2" t="inlineStr"/>
      <c r="G147" s="2" t="inlineStr"/>
      <c r="H147" s="2" t="inlineStr"/>
    </row>
    <row r="148">
      <c r="A148" s="2" t="inlineStr"/>
      <c r="B148" s="2" t="inlineStr"/>
      <c r="C148" s="2" t="inlineStr"/>
      <c r="D148" s="4" t="inlineStr"/>
      <c r="E148" s="5" t="inlineStr"/>
      <c r="F148" s="2" t="inlineStr"/>
      <c r="G148" s="2" t="inlineStr"/>
      <c r="H148" s="2" t="inlineStr"/>
    </row>
    <row r="149">
      <c r="A149" s="2" t="inlineStr"/>
      <c r="B149" s="2" t="inlineStr"/>
      <c r="C149" s="2" t="inlineStr"/>
      <c r="D149" s="4" t="inlineStr"/>
      <c r="E149" s="5" t="inlineStr"/>
      <c r="F149" s="2" t="inlineStr"/>
      <c r="G149" s="2" t="inlineStr"/>
      <c r="H149" s="2" t="inlineStr"/>
    </row>
    <row r="150">
      <c r="A150" s="2" t="inlineStr"/>
      <c r="B150" s="2" t="inlineStr"/>
      <c r="C150" s="2" t="inlineStr"/>
      <c r="D150" s="4" t="inlineStr"/>
      <c r="E150" s="5" t="inlineStr"/>
      <c r="F150" s="2" t="inlineStr"/>
      <c r="G150" s="2" t="inlineStr"/>
      <c r="H150" s="2" t="inlineStr"/>
    </row>
    <row r="151">
      <c r="A151" s="2" t="inlineStr"/>
      <c r="B151" s="2" t="inlineStr"/>
      <c r="C151" s="2" t="inlineStr"/>
      <c r="D151" s="4" t="inlineStr"/>
      <c r="E151" s="5" t="inlineStr"/>
      <c r="F151" s="2" t="inlineStr"/>
      <c r="G151" s="2" t="inlineStr"/>
      <c r="H151" s="2" t="inlineStr"/>
    </row>
    <row r="152">
      <c r="A152" s="2" t="inlineStr"/>
      <c r="B152" s="2" t="inlineStr"/>
      <c r="C152" s="2" t="inlineStr"/>
      <c r="D152" s="4" t="inlineStr"/>
      <c r="E152" s="5" t="inlineStr"/>
      <c r="F152" s="2" t="inlineStr"/>
      <c r="G152" s="2" t="inlineStr"/>
      <c r="H152" s="2" t="inlineStr"/>
    </row>
    <row r="153">
      <c r="A153" s="2" t="inlineStr"/>
      <c r="B153" s="2" t="inlineStr"/>
      <c r="C153" s="2" t="inlineStr"/>
      <c r="D153" s="4" t="inlineStr"/>
      <c r="E153" s="5" t="inlineStr"/>
      <c r="F153" s="2" t="inlineStr"/>
      <c r="G153" s="2" t="inlineStr"/>
      <c r="H153" s="2" t="inlineStr"/>
    </row>
    <row r="154">
      <c r="A154" s="2" t="inlineStr"/>
      <c r="B154" s="2" t="inlineStr"/>
      <c r="C154" s="2" t="inlineStr"/>
      <c r="D154" s="4" t="inlineStr"/>
      <c r="E154" s="5" t="inlineStr"/>
      <c r="F154" s="2" t="inlineStr"/>
      <c r="G154" s="2" t="inlineStr"/>
      <c r="H154" s="2" t="inlineStr"/>
    </row>
    <row r="155">
      <c r="A155" s="2" t="inlineStr"/>
      <c r="B155" s="2" t="inlineStr"/>
      <c r="C155" s="2" t="inlineStr"/>
      <c r="D155" s="4" t="inlineStr"/>
      <c r="E155" s="5" t="inlineStr"/>
      <c r="F155" s="2" t="inlineStr"/>
      <c r="G155" s="2" t="inlineStr"/>
      <c r="H155" s="2" t="inlineStr"/>
    </row>
    <row r="156">
      <c r="A156" s="2" t="inlineStr"/>
      <c r="B156" s="2" t="inlineStr"/>
      <c r="C156" s="2" t="inlineStr"/>
      <c r="D156" s="4" t="inlineStr"/>
      <c r="E156" s="5" t="inlineStr"/>
      <c r="F156" s="2" t="inlineStr"/>
      <c r="G156" s="2" t="inlineStr"/>
      <c r="H156" s="2" t="inlineStr"/>
    </row>
    <row r="157">
      <c r="A157" s="2" t="inlineStr"/>
      <c r="B157" s="2" t="inlineStr"/>
      <c r="C157" s="2" t="inlineStr"/>
      <c r="D157" s="4" t="inlineStr"/>
      <c r="E157" s="5" t="inlineStr"/>
      <c r="F157" s="2" t="inlineStr"/>
      <c r="G157" s="2" t="inlineStr"/>
      <c r="H157" s="2" t="inlineStr"/>
    </row>
    <row r="158">
      <c r="A158" s="2" t="inlineStr"/>
      <c r="B158" s="2" t="inlineStr"/>
      <c r="C158" s="2" t="inlineStr"/>
      <c r="D158" s="4" t="inlineStr"/>
      <c r="E158" s="5" t="inlineStr"/>
      <c r="F158" s="2" t="inlineStr"/>
      <c r="G158" s="2" t="inlineStr"/>
      <c r="H158" s="2" t="inlineStr"/>
    </row>
    <row r="159">
      <c r="A159" s="2" t="inlineStr"/>
      <c r="B159" s="2" t="inlineStr"/>
      <c r="C159" s="2" t="inlineStr"/>
      <c r="D159" s="4" t="inlineStr"/>
      <c r="E159" s="5" t="inlineStr"/>
      <c r="F159" s="2" t="inlineStr"/>
      <c r="G159" s="2" t="inlineStr"/>
      <c r="H159" s="2" t="inlineStr"/>
    </row>
    <row r="160">
      <c r="A160" s="2" t="inlineStr"/>
      <c r="B160" s="2" t="inlineStr"/>
      <c r="C160" s="2" t="inlineStr"/>
      <c r="D160" s="4" t="inlineStr"/>
      <c r="E160" s="5" t="inlineStr"/>
      <c r="F160" s="2" t="inlineStr"/>
      <c r="G160" s="2" t="inlineStr"/>
      <c r="H160" s="2" t="inlineStr"/>
    </row>
    <row r="161">
      <c r="A161" s="2" t="inlineStr"/>
      <c r="B161" s="2" t="inlineStr"/>
      <c r="C161" s="2" t="inlineStr"/>
      <c r="D161" s="4" t="inlineStr"/>
      <c r="E161" s="5" t="inlineStr"/>
      <c r="F161" s="2" t="inlineStr"/>
      <c r="G161" s="2" t="inlineStr"/>
      <c r="H161" s="2" t="inlineStr"/>
    </row>
    <row r="162">
      <c r="A162" s="2" t="inlineStr"/>
      <c r="B162" s="2" t="inlineStr"/>
      <c r="C162" s="2" t="inlineStr"/>
      <c r="D162" s="4" t="inlineStr"/>
      <c r="E162" s="5" t="inlineStr"/>
      <c r="F162" s="2" t="inlineStr"/>
      <c r="G162" s="2" t="inlineStr"/>
      <c r="H162" s="2" t="inlineStr"/>
    </row>
    <row r="163">
      <c r="A163" s="2" t="inlineStr"/>
      <c r="B163" s="2" t="inlineStr"/>
      <c r="C163" s="2" t="inlineStr"/>
      <c r="D163" s="4" t="inlineStr"/>
      <c r="E163" s="5" t="inlineStr"/>
      <c r="F163" s="2" t="inlineStr"/>
      <c r="G163" s="2" t="inlineStr"/>
      <c r="H163" s="2" t="inlineStr"/>
    </row>
    <row r="164">
      <c r="A164" s="2" t="inlineStr"/>
      <c r="B164" s="2" t="inlineStr"/>
      <c r="C164" s="2" t="inlineStr"/>
      <c r="D164" s="4" t="inlineStr"/>
      <c r="E164" s="5" t="inlineStr"/>
      <c r="F164" s="2" t="inlineStr"/>
      <c r="G164" s="2" t="inlineStr"/>
      <c r="H164" s="2" t="inlineStr"/>
    </row>
    <row r="165">
      <c r="A165" s="2" t="inlineStr"/>
      <c r="B165" s="2" t="inlineStr"/>
      <c r="C165" s="2" t="inlineStr"/>
      <c r="D165" s="4" t="inlineStr"/>
      <c r="E165" s="5" t="inlineStr"/>
      <c r="F165" s="2" t="inlineStr"/>
      <c r="G165" s="2" t="inlineStr"/>
      <c r="H165" s="2" t="inlineStr"/>
    </row>
    <row r="166">
      <c r="A166" s="2" t="inlineStr"/>
      <c r="B166" s="2" t="inlineStr"/>
      <c r="C166" s="2" t="inlineStr"/>
      <c r="D166" s="4" t="inlineStr"/>
      <c r="E166" s="5" t="inlineStr"/>
      <c r="F166" s="2" t="inlineStr"/>
      <c r="G166" s="2" t="inlineStr"/>
      <c r="H166" s="2" t="inlineStr"/>
    </row>
    <row r="167">
      <c r="A167" s="2" t="inlineStr"/>
      <c r="B167" s="2" t="inlineStr"/>
      <c r="C167" s="2" t="inlineStr"/>
      <c r="D167" s="4" t="inlineStr"/>
      <c r="E167" s="5" t="inlineStr"/>
      <c r="F167" s="2" t="inlineStr"/>
      <c r="G167" s="2" t="inlineStr"/>
      <c r="H167" s="2" t="inlineStr"/>
    </row>
    <row r="168">
      <c r="A168" s="2" t="inlineStr"/>
      <c r="B168" s="2" t="inlineStr"/>
      <c r="C168" s="2" t="inlineStr"/>
      <c r="D168" s="4" t="inlineStr"/>
      <c r="E168" s="5" t="inlineStr"/>
      <c r="F168" s="2" t="inlineStr"/>
      <c r="G168" s="2" t="inlineStr"/>
      <c r="H168" s="2" t="inlineStr"/>
    </row>
    <row r="169">
      <c r="A169" s="2" t="inlineStr"/>
      <c r="B169" s="2" t="inlineStr"/>
      <c r="C169" s="2" t="inlineStr"/>
      <c r="D169" s="4" t="inlineStr"/>
      <c r="E169" s="5" t="inlineStr"/>
      <c r="F169" s="2" t="inlineStr"/>
      <c r="G169" s="2" t="inlineStr"/>
      <c r="H169" s="2" t="inlineStr"/>
    </row>
    <row r="170">
      <c r="A170" s="2" t="inlineStr"/>
      <c r="B170" s="2" t="inlineStr"/>
      <c r="C170" s="2" t="inlineStr"/>
      <c r="D170" s="4" t="inlineStr"/>
      <c r="E170" s="5" t="inlineStr"/>
      <c r="F170" s="2" t="inlineStr"/>
      <c r="G170" s="2" t="inlineStr"/>
      <c r="H170" s="2" t="inlineStr"/>
    </row>
    <row r="171">
      <c r="A171" s="2" t="inlineStr"/>
      <c r="B171" s="2" t="inlineStr"/>
      <c r="C171" s="2" t="inlineStr"/>
      <c r="D171" s="4" t="inlineStr"/>
      <c r="E171" s="5" t="inlineStr"/>
      <c r="F171" s="2" t="inlineStr"/>
      <c r="G171" s="2" t="inlineStr"/>
      <c r="H171" s="2" t="inlineStr"/>
    </row>
    <row r="172">
      <c r="A172" s="2" t="inlineStr"/>
      <c r="B172" s="2" t="inlineStr"/>
      <c r="C172" s="2" t="inlineStr"/>
      <c r="D172" s="4" t="inlineStr"/>
      <c r="E172" s="5" t="inlineStr"/>
      <c r="F172" s="2" t="inlineStr"/>
      <c r="G172" s="2" t="inlineStr"/>
      <c r="H172" s="2" t="inlineStr"/>
    </row>
    <row r="173">
      <c r="A173" s="2" t="inlineStr"/>
      <c r="B173" s="2" t="inlineStr"/>
      <c r="C173" s="2" t="inlineStr"/>
      <c r="D173" s="4" t="inlineStr"/>
      <c r="E173" s="5" t="inlineStr"/>
      <c r="F173" s="2" t="inlineStr"/>
      <c r="G173" s="2" t="inlineStr"/>
      <c r="H173" s="2" t="inlineStr"/>
    </row>
    <row r="174">
      <c r="A174" s="2" t="inlineStr"/>
      <c r="B174" s="2" t="inlineStr"/>
      <c r="C174" s="2" t="inlineStr"/>
      <c r="D174" s="4" t="inlineStr"/>
      <c r="E174" s="5" t="inlineStr"/>
      <c r="F174" s="2" t="inlineStr"/>
      <c r="G174" s="2" t="inlineStr"/>
      <c r="H174" s="2" t="inlineStr"/>
    </row>
    <row r="175">
      <c r="A175" s="2" t="inlineStr"/>
      <c r="B175" s="2" t="inlineStr"/>
      <c r="C175" s="2" t="inlineStr"/>
      <c r="D175" s="4" t="inlineStr"/>
      <c r="E175" s="5" t="inlineStr"/>
      <c r="F175" s="2" t="inlineStr"/>
      <c r="G175" s="2" t="inlineStr"/>
      <c r="H175" s="2" t="inlineStr"/>
    </row>
    <row r="176">
      <c r="A176" s="2" t="inlineStr"/>
      <c r="B176" s="2" t="inlineStr"/>
      <c r="C176" s="2" t="inlineStr"/>
      <c r="D176" s="4" t="inlineStr"/>
      <c r="E176" s="5" t="inlineStr"/>
      <c r="F176" s="2" t="inlineStr"/>
      <c r="G176" s="2" t="inlineStr"/>
      <c r="H176" s="2" t="inlineStr"/>
    </row>
    <row r="177">
      <c r="A177" s="2" t="inlineStr"/>
      <c r="B177" s="2" t="inlineStr"/>
      <c r="C177" s="2" t="inlineStr"/>
      <c r="D177" s="4" t="inlineStr"/>
      <c r="E177" s="5" t="inlineStr"/>
      <c r="F177" s="2" t="inlineStr"/>
      <c r="G177" s="2" t="inlineStr"/>
      <c r="H177" s="2" t="inlineStr"/>
    </row>
    <row r="178">
      <c r="A178" s="2" t="inlineStr"/>
      <c r="B178" s="2" t="inlineStr"/>
      <c r="C178" s="2" t="inlineStr"/>
      <c r="D178" s="4" t="inlineStr"/>
      <c r="E178" s="5" t="inlineStr"/>
      <c r="F178" s="2" t="inlineStr"/>
      <c r="G178" s="2" t="inlineStr"/>
      <c r="H178" s="2" t="inlineStr"/>
    </row>
    <row r="179">
      <c r="A179" s="2" t="inlineStr"/>
      <c r="B179" s="2" t="inlineStr"/>
      <c r="C179" s="2" t="inlineStr"/>
      <c r="D179" s="4" t="inlineStr"/>
      <c r="E179" s="5" t="inlineStr"/>
      <c r="F179" s="2" t="inlineStr"/>
      <c r="G179" s="2" t="inlineStr"/>
      <c r="H179" s="2" t="inlineStr"/>
    </row>
    <row r="180">
      <c r="A180" s="2" t="inlineStr"/>
      <c r="B180" s="2" t="inlineStr"/>
      <c r="C180" s="2" t="inlineStr"/>
      <c r="D180" s="4" t="inlineStr"/>
      <c r="E180" s="5" t="inlineStr"/>
      <c r="F180" s="2" t="inlineStr"/>
      <c r="G180" s="2" t="inlineStr"/>
      <c r="H180" s="2" t="inlineStr"/>
    </row>
    <row r="181">
      <c r="A181" s="2" t="inlineStr"/>
      <c r="B181" s="2" t="inlineStr"/>
      <c r="C181" s="2" t="inlineStr"/>
      <c r="D181" s="4" t="inlineStr"/>
      <c r="E181" s="5" t="inlineStr"/>
      <c r="F181" s="2" t="inlineStr"/>
      <c r="G181" s="2" t="inlineStr"/>
      <c r="H181" s="2" t="inlineStr"/>
    </row>
    <row r="182">
      <c r="A182" s="2" t="inlineStr"/>
      <c r="B182" s="2" t="inlineStr"/>
      <c r="C182" s="2" t="inlineStr"/>
      <c r="D182" s="4" t="inlineStr"/>
      <c r="E182" s="5" t="inlineStr"/>
      <c r="F182" s="2" t="inlineStr"/>
      <c r="G182" s="2" t="inlineStr"/>
      <c r="H182" s="2" t="inlineStr"/>
    </row>
    <row r="183">
      <c r="A183" s="2" t="inlineStr"/>
      <c r="B183" s="2" t="inlineStr"/>
      <c r="C183" s="2" t="inlineStr"/>
      <c r="D183" s="4" t="inlineStr"/>
      <c r="E183" s="5" t="inlineStr"/>
      <c r="F183" s="2" t="inlineStr"/>
      <c r="G183" s="2" t="inlineStr"/>
      <c r="H183" s="2" t="inlineStr"/>
    </row>
    <row r="184">
      <c r="A184" s="2" t="inlineStr"/>
      <c r="B184" s="2" t="inlineStr"/>
      <c r="C184" s="2" t="inlineStr"/>
      <c r="D184" s="4" t="inlineStr"/>
      <c r="E184" s="5" t="inlineStr"/>
      <c r="F184" s="2" t="inlineStr"/>
      <c r="G184" s="2" t="inlineStr"/>
      <c r="H184" s="2" t="inlineStr"/>
    </row>
    <row r="185">
      <c r="A185" s="2" t="inlineStr"/>
      <c r="B185" s="2" t="inlineStr"/>
      <c r="C185" s="2" t="inlineStr"/>
      <c r="D185" s="4" t="inlineStr"/>
      <c r="E185" s="5" t="inlineStr"/>
      <c r="F185" s="2" t="inlineStr"/>
      <c r="G185" s="2" t="inlineStr"/>
      <c r="H185" s="2" t="inlineStr"/>
    </row>
    <row r="186">
      <c r="A186" s="2" t="inlineStr"/>
      <c r="B186" s="2" t="inlineStr"/>
      <c r="C186" s="2" t="inlineStr"/>
      <c r="D186" s="4" t="inlineStr"/>
      <c r="E186" s="5" t="inlineStr"/>
      <c r="F186" s="2" t="inlineStr"/>
      <c r="G186" s="2" t="inlineStr"/>
      <c r="H186" s="2" t="inlineStr"/>
    </row>
    <row r="187">
      <c r="A187" s="2" t="inlineStr"/>
      <c r="B187" s="2" t="inlineStr"/>
      <c r="C187" s="2" t="inlineStr"/>
      <c r="D187" s="4" t="inlineStr"/>
      <c r="E187" s="5" t="inlineStr"/>
      <c r="F187" s="2" t="inlineStr"/>
      <c r="G187" s="2" t="inlineStr"/>
      <c r="H187" s="2" t="inlineStr"/>
    </row>
    <row r="188">
      <c r="A188" s="2" t="inlineStr"/>
      <c r="B188" s="2" t="inlineStr"/>
      <c r="C188" s="2" t="inlineStr"/>
      <c r="D188" s="4" t="inlineStr"/>
      <c r="E188" s="5" t="inlineStr"/>
      <c r="F188" s="2" t="inlineStr"/>
      <c r="G188" s="2" t="inlineStr"/>
      <c r="H188" s="2" t="inlineStr"/>
    </row>
    <row r="189">
      <c r="A189" s="2" t="inlineStr"/>
      <c r="B189" s="2" t="inlineStr"/>
      <c r="C189" s="2" t="inlineStr"/>
      <c r="D189" s="4" t="inlineStr"/>
      <c r="E189" s="5" t="inlineStr"/>
      <c r="F189" s="2" t="inlineStr"/>
      <c r="G189" s="2" t="inlineStr"/>
      <c r="H189" s="2" t="inlineStr"/>
    </row>
    <row r="190">
      <c r="A190" s="2" t="inlineStr"/>
      <c r="B190" s="2" t="inlineStr"/>
      <c r="C190" s="2" t="inlineStr"/>
      <c r="D190" s="4" t="inlineStr"/>
      <c r="E190" s="5" t="inlineStr"/>
      <c r="F190" s="2" t="inlineStr"/>
      <c r="G190" s="2" t="inlineStr"/>
      <c r="H190" s="2" t="inlineStr"/>
    </row>
    <row r="191">
      <c r="A191" s="2" t="inlineStr"/>
      <c r="B191" s="2" t="inlineStr"/>
      <c r="C191" s="2" t="inlineStr"/>
      <c r="D191" s="4" t="inlineStr"/>
      <c r="E191" s="5" t="inlineStr"/>
      <c r="F191" s="2" t="inlineStr"/>
      <c r="G191" s="2" t="inlineStr"/>
      <c r="H191" s="2" t="inlineStr"/>
    </row>
    <row r="192">
      <c r="A192" s="2" t="inlineStr"/>
      <c r="B192" s="2" t="inlineStr"/>
      <c r="C192" s="2" t="inlineStr"/>
      <c r="D192" s="4" t="inlineStr"/>
      <c r="E192" s="5" t="inlineStr"/>
      <c r="F192" s="2" t="inlineStr"/>
      <c r="G192" s="2" t="inlineStr"/>
      <c r="H192" s="2" t="inlineStr"/>
    </row>
    <row r="193">
      <c r="A193" s="2" t="inlineStr"/>
      <c r="B193" s="2" t="inlineStr"/>
      <c r="C193" s="2" t="inlineStr"/>
      <c r="D193" s="4" t="inlineStr"/>
      <c r="E193" s="5" t="inlineStr"/>
      <c r="F193" s="2" t="inlineStr"/>
      <c r="G193" s="2" t="inlineStr"/>
      <c r="H193" s="2" t="inlineStr"/>
    </row>
    <row r="194">
      <c r="A194" s="2" t="inlineStr"/>
      <c r="B194" s="2" t="inlineStr"/>
      <c r="C194" s="2" t="inlineStr"/>
      <c r="D194" s="4" t="inlineStr"/>
      <c r="E194" s="5" t="inlineStr"/>
      <c r="F194" s="2" t="inlineStr"/>
      <c r="G194" s="2" t="inlineStr"/>
      <c r="H194" s="2" t="inlineStr"/>
    </row>
    <row r="195">
      <c r="A195" s="2" t="inlineStr"/>
      <c r="B195" s="2" t="inlineStr"/>
      <c r="C195" s="2" t="inlineStr"/>
      <c r="D195" s="4" t="inlineStr"/>
      <c r="E195" s="5" t="inlineStr"/>
      <c r="F195" s="2" t="inlineStr"/>
      <c r="G195" s="2" t="inlineStr"/>
      <c r="H195" s="2" t="inlineStr"/>
    </row>
    <row r="196">
      <c r="A196" s="2" t="inlineStr"/>
      <c r="B196" s="2" t="inlineStr"/>
      <c r="C196" s="2" t="inlineStr"/>
      <c r="D196" s="4" t="inlineStr"/>
      <c r="E196" s="5" t="inlineStr"/>
      <c r="F196" s="2" t="inlineStr"/>
      <c r="G196" s="2" t="inlineStr"/>
      <c r="H196" s="2" t="inlineStr"/>
    </row>
    <row r="197">
      <c r="A197" s="2" t="inlineStr"/>
      <c r="B197" s="2" t="inlineStr"/>
      <c r="C197" s="2" t="inlineStr"/>
      <c r="D197" s="4" t="inlineStr"/>
      <c r="E197" s="5" t="inlineStr"/>
      <c r="F197" s="2" t="inlineStr"/>
      <c r="G197" s="2" t="inlineStr"/>
      <c r="H197" s="2" t="inlineStr"/>
    </row>
    <row r="198">
      <c r="A198" s="2" t="inlineStr"/>
      <c r="B198" s="2" t="inlineStr"/>
      <c r="C198" s="2" t="inlineStr"/>
      <c r="D198" s="4" t="inlineStr"/>
      <c r="E198" s="5" t="inlineStr"/>
      <c r="F198" s="2" t="inlineStr"/>
      <c r="G198" s="2" t="inlineStr"/>
      <c r="H198" s="2" t="inlineStr"/>
    </row>
    <row r="199">
      <c r="A199" s="2" t="inlineStr"/>
      <c r="B199" s="2" t="inlineStr"/>
      <c r="C199" s="2" t="inlineStr"/>
      <c r="D199" s="4" t="inlineStr"/>
      <c r="E199" s="5" t="inlineStr"/>
      <c r="F199" s="2" t="inlineStr"/>
      <c r="G199" s="2" t="inlineStr"/>
      <c r="H199" s="2" t="inlineStr"/>
    </row>
    <row r="200">
      <c r="A200" s="2" t="inlineStr"/>
      <c r="B200" s="2" t="inlineStr"/>
      <c r="C200" s="2" t="inlineStr"/>
      <c r="D200" s="4" t="inlineStr"/>
      <c r="E200" s="5" t="inlineStr"/>
      <c r="F200" s="2" t="inlineStr"/>
      <c r="G200" s="2" t="inlineStr"/>
      <c r="H200" s="2" t="inlineStr"/>
    </row>
    <row r="201">
      <c r="A201" s="2" t="inlineStr"/>
      <c r="B201" s="2" t="inlineStr"/>
      <c r="C201" s="2" t="inlineStr"/>
      <c r="D201" s="4" t="inlineStr"/>
      <c r="E201" s="5" t="inlineStr"/>
      <c r="F201" s="2" t="inlineStr"/>
      <c r="G201" s="2" t="inlineStr"/>
      <c r="H201" s="2" t="inlineStr"/>
    </row>
  </sheetData>
  <autoFilter ref="A1:H201"/>
  <dataValidations count="1">
    <dataValidation sqref="G2:G201" showDropDown="0" showInputMessage="0" showErrorMessage="0" allowBlank="0" type="list">
      <formula1>"DA,NU"</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8.2" customWidth="1" min="1" max="1"/>
    <col width="75" customWidth="1" min="2" max="2"/>
    <col width="54.59999999999999" customWidth="1" min="3" max="3"/>
  </cols>
  <sheetData>
    <row r="1">
      <c r="A1" s="1" t="inlineStr">
        <is>
          <t>Parametru</t>
        </is>
      </c>
      <c r="B1" s="1" t="inlineStr">
        <is>
          <t>Valoare</t>
        </is>
      </c>
      <c r="C1" s="1" t="inlineStr">
        <is>
          <t>Instrucțiune</t>
        </is>
      </c>
    </row>
    <row r="2">
      <c r="A2" s="2" t="inlineStr">
        <is>
          <t>Data evaluării</t>
        </is>
      </c>
      <c r="B2" s="4" t="n">
        <v>46296</v>
      </c>
      <c r="C2" s="2" t="inlineStr">
        <is>
          <t>Actualizați la data acordării viitorului ajutor.</t>
        </is>
      </c>
    </row>
    <row r="3">
      <c r="A3" s="2" t="inlineStr">
        <is>
          <t>Istoric complet confirmat?</t>
        </is>
      </c>
      <c r="B3" s="2" t="inlineStr"/>
      <c r="C3" s="2" t="inlineStr">
        <is>
          <t>Introduceți DA doar după verificarea tuturor membrilor întreprinderii unice.</t>
        </is>
      </c>
    </row>
    <row r="4">
      <c r="A4" s="2" t="inlineStr">
        <is>
          <t>Plafon EUR</t>
        </is>
      </c>
      <c r="B4" s="2" t="n">
        <v>300000</v>
      </c>
      <c r="C4" s="2" t="inlineStr">
        <is>
          <t>Măsura1 — plafon legal general.</t>
        </is>
      </c>
    </row>
    <row r="5">
      <c r="A5" s="2" t="inlineStr">
        <is>
          <t>Ajutoare în orice 3 ani</t>
        </is>
      </c>
      <c r="B5" s="2">
        <f>IF(B3&lt;&gt;"DA","",SUMIFS('Ajutoare minimis'!E2:E201,'Ajutoare minimis'!D2:D201,"&gt;="&amp;EDATE(B2,-36),'Ajutoare minimis'!D2:D201,"&lt;="&amp;B2,'Ajutoare minimis'!G2:G201,"DA"))</f>
        <v/>
      </c>
      <c r="C5" s="2" t="inlineStr">
        <is>
          <t>Filtrare după data acordării, nu a plății; echivalența EUR trebuie verificată.</t>
        </is>
      </c>
    </row>
    <row r="6">
      <c r="A6" s="2" t="inlineStr">
        <is>
          <t>Sold estimat EUR</t>
        </is>
      </c>
      <c r="B6" s="2">
        <f>IF(B5="","",MAX(0,B4-B5))</f>
        <v/>
      </c>
      <c r="C6" s="2" t="inlineStr">
        <is>
          <t>Nu este valid fără istoric complet și verificare juridică a cumulului.</t>
        </is>
      </c>
    </row>
  </sheetData>
  <autoFilter ref="A1:C6"/>
  <dataValidations count="1">
    <dataValidation sqref="B3" showDropDown="0" showInputMessage="0" showErrorMessage="0" allowBlank="0" type="list">
      <formula1>"DA,NU"</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AUTO ID</t>
        </is>
      </c>
      <c r="B1" s="1" t="inlineStr">
        <is>
          <t>Preț net EUR</t>
        </is>
      </c>
      <c r="C1" s="1" t="inlineStr">
        <is>
          <t>Cota TVA din ofertă</t>
        </is>
      </c>
      <c r="D1" s="1" t="inlineStr">
        <is>
          <t>TVA EUR</t>
        </is>
      </c>
      <c r="E1" s="1" t="inlineStr">
        <is>
          <t>Plafon per M1</t>
        </is>
      </c>
      <c r="F1" s="1" t="inlineStr">
        <is>
          <t>Grant solicitat EUR</t>
        </is>
      </c>
      <c r="G1" s="1" t="inlineStr">
        <is>
          <t>Contribuție net EUR</t>
        </is>
      </c>
      <c r="H1" s="1" t="inlineStr">
        <is>
          <t>Total factură EUR</t>
        </is>
      </c>
      <c r="I1" s="1" t="inlineStr">
        <is>
          <t>Efort cash EUR</t>
        </is>
      </c>
      <c r="J1" s="1" t="inlineStr">
        <is>
          <t>Control grant</t>
        </is>
      </c>
    </row>
    <row r="2">
      <c r="A2" s="2" t="inlineStr">
        <is>
          <t>AUTO01</t>
        </is>
      </c>
      <c r="B2" s="5" t="n"/>
      <c r="C2" s="6" t="n"/>
      <c r="D2" s="5">
        <f>IF(OR(B2="",C2=""),"",B2*C2)</f>
        <v/>
      </c>
      <c r="E2" s="5" t="n">
        <v>30000</v>
      </c>
      <c r="F2" s="5" t="n"/>
      <c r="G2" s="5">
        <f>IF(OR(B2="",F2=""),"",B2-F2)</f>
        <v/>
      </c>
      <c r="H2" s="5">
        <f>IF(D2="","",B2+D2)</f>
        <v/>
      </c>
      <c r="I2" s="5">
        <f>IF(OR(H2="",F2=""),"",H2-F2)</f>
        <v/>
      </c>
      <c r="J2" s="2">
        <f>IF(OR(B2="",F2=""),"",IF(AND(F2&gt;=0,F2&lt;=MIN(B2,E2)),"OK","DEPĂȘIRE / INVALID"))</f>
        <v/>
      </c>
    </row>
    <row r="3">
      <c r="A3" s="2" t="inlineStr">
        <is>
          <t>AUTO02</t>
        </is>
      </c>
      <c r="B3" s="5" t="n"/>
      <c r="C3" s="6" t="n"/>
      <c r="D3" s="5">
        <f>IF(OR(B3="",C3=""),"",B3*C3)</f>
        <v/>
      </c>
      <c r="E3" s="5" t="n">
        <v>30000</v>
      </c>
      <c r="F3" s="5" t="n"/>
      <c r="G3" s="5">
        <f>IF(OR(B3="",F3=""),"",B3-F3)</f>
        <v/>
      </c>
      <c r="H3" s="5">
        <f>IF(D3="","",B3+D3)</f>
        <v/>
      </c>
      <c r="I3" s="5">
        <f>IF(OR(H3="",F3=""),"",H3-F3)</f>
        <v/>
      </c>
      <c r="J3" s="2">
        <f>IF(OR(B3="",F3=""),"",IF(AND(F3&gt;=0,F3&lt;=MIN(B3,E3)),"OK","DEPĂȘIRE / INVALID"))</f>
        <v/>
      </c>
    </row>
    <row r="4">
      <c r="A4" s="2" t="inlineStr">
        <is>
          <t>AUTO03</t>
        </is>
      </c>
      <c r="B4" s="5" t="n"/>
      <c r="C4" s="6" t="n"/>
      <c r="D4" s="5">
        <f>IF(OR(B4="",C4=""),"",B4*C4)</f>
        <v/>
      </c>
      <c r="E4" s="5" t="n">
        <v>30000</v>
      </c>
      <c r="F4" s="5" t="n"/>
      <c r="G4" s="5">
        <f>IF(OR(B4="",F4=""),"",B4-F4)</f>
        <v/>
      </c>
      <c r="H4" s="5">
        <f>IF(D4="","",B4+D4)</f>
        <v/>
      </c>
      <c r="I4" s="5">
        <f>IF(OR(H4="",F4=""),"",H4-F4)</f>
        <v/>
      </c>
      <c r="J4" s="2">
        <f>IF(OR(B4="",F4=""),"",IF(AND(F4&gt;=0,F4&lt;=MIN(B4,E4)),"OK","DEPĂȘIRE / INVALID"))</f>
        <v/>
      </c>
    </row>
    <row r="5">
      <c r="A5" s="2" t="inlineStr">
        <is>
          <t>AUTO04</t>
        </is>
      </c>
      <c r="B5" s="5" t="n"/>
      <c r="C5" s="6" t="n"/>
      <c r="D5" s="5">
        <f>IF(OR(B5="",C5=""),"",B5*C5)</f>
        <v/>
      </c>
      <c r="E5" s="5" t="n">
        <v>30000</v>
      </c>
      <c r="F5" s="5" t="n"/>
      <c r="G5" s="5">
        <f>IF(OR(B5="",F5=""),"",B5-F5)</f>
        <v/>
      </c>
      <c r="H5" s="5">
        <f>IF(D5="","",B5+D5)</f>
        <v/>
      </c>
      <c r="I5" s="5">
        <f>IF(OR(H5="",F5=""),"",H5-F5)</f>
        <v/>
      </c>
      <c r="J5" s="2">
        <f>IF(OR(B5="",F5=""),"",IF(AND(F5&gt;=0,F5&lt;=MIN(B5,E5)),"OK","DEPĂȘIRE / INVALID"))</f>
        <v/>
      </c>
    </row>
    <row r="6">
      <c r="A6" s="2" t="inlineStr">
        <is>
          <t>AUTO05</t>
        </is>
      </c>
      <c r="B6" s="5" t="n"/>
      <c r="C6" s="6" t="n"/>
      <c r="D6" s="5">
        <f>IF(OR(B6="",C6=""),"",B6*C6)</f>
        <v/>
      </c>
      <c r="E6" s="5" t="n">
        <v>30000</v>
      </c>
      <c r="F6" s="5" t="n"/>
      <c r="G6" s="5">
        <f>IF(OR(B6="",F6=""),"",B6-F6)</f>
        <v/>
      </c>
      <c r="H6" s="5">
        <f>IF(D6="","",B6+D6)</f>
        <v/>
      </c>
      <c r="I6" s="5">
        <f>IF(OR(H6="",F6=""),"",H6-F6)</f>
        <v/>
      </c>
      <c r="J6" s="2">
        <f>IF(OR(B6="",F6=""),"",IF(AND(F6&gt;=0,F6&lt;=MIN(B6,E6)),"OK","DEPĂȘIRE / INVALID"))</f>
        <v/>
      </c>
    </row>
    <row r="7">
      <c r="A7" s="2" t="inlineStr">
        <is>
          <t>AUTO06</t>
        </is>
      </c>
      <c r="B7" s="5" t="n"/>
      <c r="C7" s="6" t="n"/>
      <c r="D7" s="5">
        <f>IF(OR(B7="",C7=""),"",B7*C7)</f>
        <v/>
      </c>
      <c r="E7" s="5" t="n">
        <v>30000</v>
      </c>
      <c r="F7" s="5" t="n"/>
      <c r="G7" s="5">
        <f>IF(OR(B7="",F7=""),"",B7-F7)</f>
        <v/>
      </c>
      <c r="H7" s="5">
        <f>IF(D7="","",B7+D7)</f>
        <v/>
      </c>
      <c r="I7" s="5">
        <f>IF(OR(H7="",F7=""),"",H7-F7)</f>
        <v/>
      </c>
      <c r="J7" s="2">
        <f>IF(OR(B7="",F7=""),"",IF(AND(F7&gt;=0,F7&lt;=MIN(B7,E7)),"OK","DEPĂȘIRE / INVALID"))</f>
        <v/>
      </c>
    </row>
    <row r="8">
      <c r="A8" s="2" t="inlineStr">
        <is>
          <t>AUTO07</t>
        </is>
      </c>
      <c r="B8" s="5" t="n"/>
      <c r="C8" s="6" t="n"/>
      <c r="D8" s="5">
        <f>IF(OR(B8="",C8=""),"",B8*C8)</f>
        <v/>
      </c>
      <c r="E8" s="5" t="n">
        <v>30000</v>
      </c>
      <c r="F8" s="5" t="n"/>
      <c r="G8" s="5">
        <f>IF(OR(B8="",F8=""),"",B8-F8)</f>
        <v/>
      </c>
      <c r="H8" s="5">
        <f>IF(D8="","",B8+D8)</f>
        <v/>
      </c>
      <c r="I8" s="5">
        <f>IF(OR(H8="",F8=""),"",H8-F8)</f>
        <v/>
      </c>
      <c r="J8" s="2">
        <f>IF(OR(B8="",F8=""),"",IF(AND(F8&gt;=0,F8&lt;=MIN(B8,E8)),"OK","DEPĂȘIRE / INVALID"))</f>
        <v/>
      </c>
    </row>
    <row r="9">
      <c r="A9" s="2" t="inlineStr">
        <is>
          <t>AUTO08</t>
        </is>
      </c>
      <c r="B9" s="5" t="n"/>
      <c r="C9" s="6" t="n"/>
      <c r="D9" s="5">
        <f>IF(OR(B9="",C9=""),"",B9*C9)</f>
        <v/>
      </c>
      <c r="E9" s="5" t="n">
        <v>30000</v>
      </c>
      <c r="F9" s="5" t="n"/>
      <c r="G9" s="5">
        <f>IF(OR(B9="",F9=""),"",B9-F9)</f>
        <v/>
      </c>
      <c r="H9" s="5">
        <f>IF(D9="","",B9+D9)</f>
        <v/>
      </c>
      <c r="I9" s="5">
        <f>IF(OR(H9="",F9=""),"",H9-F9)</f>
        <v/>
      </c>
      <c r="J9" s="2">
        <f>IF(OR(B9="",F9=""),"",IF(AND(F9&gt;=0,F9&lt;=MIN(B9,E9)),"OK","DEPĂȘIRE / INVALID"))</f>
        <v/>
      </c>
    </row>
    <row r="10">
      <c r="A10" s="2" t="inlineStr">
        <is>
          <t>AUTO09</t>
        </is>
      </c>
      <c r="B10" s="5" t="n"/>
      <c r="C10" s="6" t="n"/>
      <c r="D10" s="5">
        <f>IF(OR(B10="",C10=""),"",B10*C10)</f>
        <v/>
      </c>
      <c r="E10" s="5" t="n">
        <v>30000</v>
      </c>
      <c r="F10" s="5" t="n"/>
      <c r="G10" s="5">
        <f>IF(OR(B10="",F10=""),"",B10-F10)</f>
        <v/>
      </c>
      <c r="H10" s="5">
        <f>IF(D10="","",B10+D10)</f>
        <v/>
      </c>
      <c r="I10" s="5">
        <f>IF(OR(H10="",F10=""),"",H10-F10)</f>
        <v/>
      </c>
      <c r="J10" s="2">
        <f>IF(OR(B10="",F10=""),"",IF(AND(F10&gt;=0,F10&lt;=MIN(B10,E10)),"OK","DEPĂȘIRE / INVALID"))</f>
        <v/>
      </c>
    </row>
    <row r="11">
      <c r="A11" s="2" t="inlineStr">
        <is>
          <t>AUTO10</t>
        </is>
      </c>
      <c r="B11" s="5" t="n"/>
      <c r="C11" s="6" t="n"/>
      <c r="D11" s="5">
        <f>IF(OR(B11="",C11=""),"",B11*C11)</f>
        <v/>
      </c>
      <c r="E11" s="5" t="n">
        <v>30000</v>
      </c>
      <c r="F11" s="5" t="n"/>
      <c r="G11" s="5">
        <f>IF(OR(B11="",F11=""),"",B11-F11)</f>
        <v/>
      </c>
      <c r="H11" s="5">
        <f>IF(D11="","",B11+D11)</f>
        <v/>
      </c>
      <c r="I11" s="5">
        <f>IF(OR(H11="",F11=""),"",H11-F11)</f>
        <v/>
      </c>
      <c r="J11" s="2">
        <f>IF(OR(B11="",F11=""),"",IF(AND(F11&gt;=0,F11&lt;=MIN(B11,E11)),"OK","DEPĂȘIRE / INVALID"))</f>
        <v/>
      </c>
    </row>
    <row r="13">
      <c r="A13" t="inlineStr">
        <is>
          <t>Total grant</t>
        </is>
      </c>
      <c r="F13">
        <f>SUM(F2:F11)</f>
        <v/>
      </c>
    </row>
    <row r="14">
      <c r="A14" t="inlineStr">
        <is>
          <t>Sold minimis verificat</t>
        </is>
      </c>
      <c r="F14">
        <f>IF('Calcul minimis'!B6="","",'Calcul minimis'!B6)</f>
        <v/>
      </c>
    </row>
    <row r="15">
      <c r="A15" t="inlineStr">
        <is>
          <t>Control cumul</t>
        </is>
      </c>
      <c r="F15">
        <f>IF(F14="","ISTORIC NECONFIRMAT",IF(F13&lt;=F14,"OK","DEPĂȘIRE MINIMIS"))</f>
        <v/>
      </c>
    </row>
    <row r="17">
      <c r="A17" t="inlineStr">
        <is>
          <t>Calculator numai M1/Măsura1. Rândurile sunt șablon gol, nu vehicule eligibile confirmate.</t>
        </is>
      </c>
    </row>
    <row r="18">
      <c r="A18" t="inlineStr">
        <is>
          <t>TVA și grant se completează. Efort cash nu ia în calcul recuperarea fiscală TVA ori alte costuri neeligibile.</t>
        </is>
      </c>
    </row>
  </sheetData>
  <autoFilter ref="A1:J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30.8" customWidth="1" min="2" max="2"/>
    <col width="17.5" customWidth="1" min="3" max="3"/>
    <col width="18.2" customWidth="1" min="4" max="4"/>
    <col width="16" customWidth="1" min="5" max="5"/>
  </cols>
  <sheetData>
    <row r="1">
      <c r="A1" s="1" t="inlineStr">
        <is>
          <t>ID</t>
        </is>
      </c>
      <c r="B1" s="1" t="inlineStr">
        <is>
          <t>De clarificat</t>
        </is>
      </c>
      <c r="C1" s="1" t="inlineStr">
        <is>
          <t>Sursa necesară</t>
        </is>
      </c>
      <c r="D1" s="1" t="inlineStr">
        <is>
          <t>Impact</t>
        </is>
      </c>
      <c r="E1" s="1" t="inlineStr">
        <is>
          <t>Stare</t>
        </is>
      </c>
    </row>
    <row r="2">
      <c r="A2" s="2" t="inlineStr">
        <is>
          <t>Q01</t>
        </is>
      </c>
      <c r="B2" s="2" t="inlineStr">
        <is>
          <t>Ghid final, platformă și calendar eDRIVE</t>
        </is>
      </c>
      <c r="C2" s="2" t="inlineStr">
        <is>
          <t>MTI</t>
        </is>
      </c>
      <c r="D2" s="2" t="inlineStr">
        <is>
          <t>Depunere</t>
        </is>
      </c>
      <c r="E2" s="2" t="inlineStr">
        <is>
          <t>În așteptare</t>
        </is>
      </c>
    </row>
    <row r="3">
      <c r="A3" s="2" t="inlineStr">
        <is>
          <t>Q02</t>
        </is>
      </c>
      <c r="B3" s="2" t="inlineStr">
        <is>
          <t>Firma și CUI care solicită</t>
        </is>
      </c>
      <c r="C3" s="2" t="inlineStr">
        <is>
          <t>Utilizator / ONRC</t>
        </is>
      </c>
      <c r="D3" s="2" t="inlineStr">
        <is>
          <t>Eligibilitate și documente</t>
        </is>
      </c>
      <c r="E3" s="2" t="inlineStr">
        <is>
          <t>De completat</t>
        </is>
      </c>
    </row>
    <row r="4">
      <c r="A4" s="2" t="inlineStr">
        <is>
          <t>Q03</t>
        </is>
      </c>
      <c r="B4" s="2" t="inlineStr">
        <is>
          <t>Structura grupului și istoric ajutoare</t>
        </is>
      </c>
      <c r="C4" s="2" t="inlineStr">
        <is>
          <t>Financiar + acte acordare</t>
        </is>
      </c>
      <c r="D4" s="2" t="inlineStr">
        <is>
          <t>Sold real minimis</t>
        </is>
      </c>
      <c r="E4" s="2" t="inlineStr">
        <is>
          <t>De completat</t>
        </is>
      </c>
    </row>
    <row r="5">
      <c r="A5" s="2" t="inlineStr">
        <is>
          <t>Q04</t>
        </is>
      </c>
      <c r="B5" s="2" t="inlineStr">
        <is>
          <t>Lista vehiculelor și istoricul RCA/ITP</t>
        </is>
      </c>
      <c r="C5" s="2" t="inlineStr">
        <is>
          <t>Responsabil flotă</t>
        </is>
      </c>
      <c r="D5" s="2" t="inlineStr">
        <is>
          <t>Înlocuire eligibilă</t>
        </is>
      </c>
      <c r="E5" s="2" t="inlineStr">
        <is>
          <t>De completat</t>
        </is>
      </c>
    </row>
    <row r="6">
      <c r="A6" s="2" t="inlineStr">
        <is>
          <t>Q05</t>
        </is>
      </c>
      <c r="B6" s="2" t="inlineStr">
        <is>
          <t>Oferte net/TVA și dovadă origine UE</t>
        </is>
      </c>
      <c r="C6" s="2" t="inlineStr">
        <is>
          <t>Dealeri / producători</t>
        </is>
      </c>
      <c r="D6" s="2" t="inlineStr">
        <is>
          <t>Buget și punctaj</t>
        </is>
      </c>
      <c r="E6" s="2" t="inlineStr">
        <is>
          <t>De completat</t>
        </is>
      </c>
    </row>
    <row r="7">
      <c r="A7" s="2" t="inlineStr">
        <is>
          <t>Q06</t>
        </is>
      </c>
      <c r="B7" s="2" t="inlineStr">
        <is>
          <t>Documentele concrete și procedura achiziției</t>
        </is>
      </c>
      <c r="C7" s="2" t="inlineStr">
        <is>
          <t>Ghid final</t>
        </is>
      </c>
      <c r="D7" s="2" t="inlineStr">
        <is>
          <t>Conformitate</t>
        </is>
      </c>
      <c r="E7" s="2" t="inlineStr">
        <is>
          <t>În așteptare</t>
        </is>
      </c>
    </row>
    <row r="8">
      <c r="A8" s="2" t="inlineStr">
        <is>
          <t>Q07</t>
        </is>
      </c>
      <c r="B8" s="2" t="inlineStr">
        <is>
          <t>Plată, avans și numerar propriu</t>
        </is>
      </c>
      <c r="C8" s="2" t="inlineStr">
        <is>
          <t>Ghid / contract / bancă</t>
        </is>
      </c>
      <c r="D8" s="2" t="inlineStr">
        <is>
          <t>Cash-flow</t>
        </is>
      </c>
      <c r="E8" s="2" t="inlineStr">
        <is>
          <t>În așteptare</t>
        </is>
      </c>
    </row>
    <row r="9">
      <c r="A9" s="2" t="inlineStr">
        <is>
          <t>Q08</t>
        </is>
      </c>
      <c r="B9" s="2" t="inlineStr">
        <is>
          <t>Proiect cu modele de origine mixtă</t>
        </is>
      </c>
      <c r="C9" s="2" t="inlineStr">
        <is>
          <t>Ghid / clarificare MTI</t>
        </is>
      </c>
      <c r="D9" s="2" t="inlineStr">
        <is>
          <t>Punctaj UE</t>
        </is>
      </c>
      <c r="E9" s="2" t="inlineStr">
        <is>
          <t>În așteptare</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2026-10-01T07:39:51Z</dcterms:created>
  <dcterms:modified xmlns:dcterms="http://purl.org/dc/terms/" xmlns:xsi="http://www.w3.org/2001/XMLSchema-instance" xsi:type="dcterms:W3CDTF">2026-10-01T07:39:51Z</dcterms:modified>
</cp:coreProperties>
</file>